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ibailey/src/hispec-fib/hispecfib/"/>
    </mc:Choice>
  </mc:AlternateContent>
  <xr:revisionPtr revIDLastSave="0" documentId="13_ncr:1_{9EEEFB8D-570F-2640-ACB6-FE0018309B28}" xr6:coauthVersionLast="47" xr6:coauthVersionMax="47" xr10:uidLastSave="{00000000-0000-0000-0000-000000000000}"/>
  <bookViews>
    <workbookView xWindow="-2440" yWindow="-26120" windowWidth="48460" windowHeight="25480" xr2:uid="{00000000-000D-0000-FFFF-FFFF00000000}"/>
  </bookViews>
  <sheets>
    <sheet name="common_forw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" l="1"/>
  <c r="F71" i="1" l="1"/>
  <c r="F53" i="1"/>
  <c r="D88" i="1"/>
  <c r="D86" i="1"/>
  <c r="D85" i="1"/>
  <c r="D83" i="1"/>
  <c r="D82" i="1"/>
  <c r="D80" i="1"/>
  <c r="D69" i="1"/>
  <c r="D67" i="1"/>
  <c r="D66" i="1"/>
  <c r="D64" i="1"/>
  <c r="D63" i="1"/>
  <c r="D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tc={56141629-55F1-1446-BFB4-120BC87945C5}</author>
    <author>tc={7F1D9F1A-5EC9-6C43-BCC4-B706F903AA15}</author>
  </authors>
  <commentList>
    <comment ref="F97" authorId="0" shapeId="0" xr:uid="{56141629-55F1-1446-BFB4-120BC87945C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this to LGS option</t>
      </text>
    </comment>
    <comment ref="C103" authorId="1" shapeId="0" xr:uid="{7F1D9F1A-5EC9-6C43-BCC4-B706F903AA1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add this as an option</t>
      </text>
    </comment>
  </commentList>
</comments>
</file>

<file path=xl/sharedStrings.xml><?xml version="1.0" encoding="utf-8"?>
<sst xmlns="http://schemas.openxmlformats.org/spreadsheetml/2006/main" count="524" uniqueCount="187">
  <si>
    <t>Include?</t>
  </si>
  <si>
    <t>Type</t>
  </si>
  <si>
    <t>Element</t>
  </si>
  <si>
    <t>Value</t>
  </si>
  <si>
    <t>Margin</t>
  </si>
  <si>
    <t>Datafile</t>
  </si>
  <si>
    <t>Datafile source</t>
  </si>
  <si>
    <t>Notes</t>
  </si>
  <si>
    <t>Note</t>
  </si>
  <si>
    <t>TELESCOPE</t>
  </si>
  <si>
    <t>Coating</t>
  </si>
  <si>
    <t>Telescope Primary</t>
  </si>
  <si>
    <t>-</t>
  </si>
  <si>
    <t>telescope\Keck_refl_data_two_year.csv</t>
  </si>
  <si>
    <t>WMKO</t>
  </si>
  <si>
    <t>Based on 2021 reflectivity measurements with aging (0.015 loss per year) , see Keck_refl_data.xlsx</t>
  </si>
  <si>
    <t>Telescope Seconday</t>
  </si>
  <si>
    <t>telescope\Keck_refl_data_three_year.csv</t>
  </si>
  <si>
    <t>From Keck_refl_data.xlsx drafted for Sonia</t>
  </si>
  <si>
    <t>Telescope Tertiary</t>
  </si>
  <si>
    <t>Constant</t>
  </si>
  <si>
    <t>Segment Gaps</t>
  </si>
  <si>
    <t>Keck Blue Book</t>
  </si>
  <si>
    <t>Keck Blue Book (page 7-28)</t>
  </si>
  <si>
    <t>Secondary Obscuration</t>
  </si>
  <si>
    <t>Keck Blue Book (page 4-8)</t>
  </si>
  <si>
    <t>AO</t>
  </si>
  <si>
    <t>K1</t>
  </si>
  <si>
    <t>coatings\reflKmirror1_Opticoat.csv</t>
  </si>
  <si>
    <t>Dust Factor</t>
  </si>
  <si>
    <t>K2</t>
  </si>
  <si>
    <t>coatings\QuantumCoatingFSS99.csv</t>
  </si>
  <si>
    <t>K3</t>
  </si>
  <si>
    <t>TTM</t>
  </si>
  <si>
    <t>coatings\reflKmirror2_Opticoat.csv</t>
  </si>
  <si>
    <t>OAP1</t>
  </si>
  <si>
    <t>DM</t>
  </si>
  <si>
    <t>OAP2</t>
  </si>
  <si>
    <t>SH Dichroic</t>
  </si>
  <si>
    <t>coatings\TransCaF2Dich.csv</t>
  </si>
  <si>
    <t>Pickoff Mirror</t>
  </si>
  <si>
    <t>FEI COMMON</t>
  </si>
  <si>
    <t>Pyr Dichroic</t>
  </si>
  <si>
    <t>The pyramid dichroic will be empty for nominal observations, so hold 1 here</t>
  </si>
  <si>
    <t>Fold Mirror</t>
  </si>
  <si>
    <t>coatings\Nutek_protAu.csv</t>
  </si>
  <si>
    <t>Nutek</t>
  </si>
  <si>
    <t>OAP3</t>
  </si>
  <si>
    <t>coatings\OAP\Nutek_OAP_measured.csv</t>
  </si>
  <si>
    <t>Nutek report</t>
  </si>
  <si>
    <t>eyeballed from NuTek final report - no degradation accounted for</t>
  </si>
  <si>
    <t>AR 1</t>
  </si>
  <si>
    <t>coatings\ADC\AR_coating_SFPM4_transmission.csv</t>
  </si>
  <si>
    <t>Start ADC Lens Set 1</t>
  </si>
  <si>
    <t>Internal Transmission</t>
  </si>
  <si>
    <t>ADC S-FPM4</t>
  </si>
  <si>
    <t>glass\S-FPM4 transmission.txt</t>
  </si>
  <si>
    <t>See Zemax model for glass types and thickness. I take the middle thickness</t>
  </si>
  <si>
    <t>See quote for AR coatings (LightMachinery Quote Atmospheric Dispersion Correct (ADC) prims for the HISPEC project.pdf)</t>
  </si>
  <si>
    <t>AR 2</t>
  </si>
  <si>
    <t>coatings\ADC\AR_coating_SLAH71_transmission.csv</t>
  </si>
  <si>
    <t>ADC - S-LAH71</t>
  </si>
  <si>
    <t>glass\S-LAH71 transmission.txt</t>
  </si>
  <si>
    <t>Start ADC Lens Set 2</t>
  </si>
  <si>
    <t>FSM</t>
  </si>
  <si>
    <t>FEI ATC</t>
  </si>
  <si>
    <t>ATC Dichroic</t>
  </si>
  <si>
    <t>coatings\Asahi\Final transmission model(JH gap dichroic)_reflection.csv</t>
  </si>
  <si>
    <t>ND Filter</t>
  </si>
  <si>
    <t>Or ND filter here, typically won't use this so do not include/set to 1</t>
  </si>
  <si>
    <t>Focusing Lens 1</t>
  </si>
  <si>
    <t>edmund NIR2 x 2</t>
  </si>
  <si>
    <t>Focusing Lens 2</t>
  </si>
  <si>
    <t>custom tbd</t>
  </si>
  <si>
    <t>Cryostat Window</t>
  </si>
  <si>
    <t>\coatings\ATC_window\telaztec_transmission.csv</t>
  </si>
  <si>
    <t>TelAztec</t>
  </si>
  <si>
    <t>Total measured transmission through window measured by Telaztec. See TelAztec_DataSlides_TLZCAL06_CALTECH-TO-2024-081_W51-RAR-XL-Mask_BAKER_10SEPT2024.pdf</t>
  </si>
  <si>
    <t>Blocking Filter</t>
  </si>
  <si>
    <t>\coatings\Asahi\Transmission model(HISPEC FEI blocking filter_IR grade fused silica)-f6_0deg.csv</t>
  </si>
  <si>
    <t>Blocking filter at 0deg AOI for f/6 beam</t>
  </si>
  <si>
    <t>QE</t>
  </si>
  <si>
    <t xml:space="preserve">Measured QE at 1.3um, slide 5 of this link:  https://caltech.sharepoint.com/:p:/r/sites/coo/hispec/_layouts/15/Doc.aspx?sourcedoc=%7BFBAF1B49-8D4E-4800-8408-7EB87053A0D3%7D&amp;file=H2RG%20Trade%20Off.pptx&amp;action=edit&amp;mobileredirect=true </t>
  </si>
  <si>
    <t>FEI BLUE</t>
  </si>
  <si>
    <t>ATC Dichroic AR Coating</t>
  </si>
  <si>
    <t>coatings\Asahi\AR_ATC Dichroic.csv</t>
  </si>
  <si>
    <t>CSD Dichroic Reflection</t>
  </si>
  <si>
    <t>coatings\Asahi\Final transmission model(Channel splitting dichroic)_reflection.csv</t>
  </si>
  <si>
    <t>No AR coating bc blue arm sees only the reflection off CSD</t>
  </si>
  <si>
    <t>PIAA Lenses</t>
  </si>
  <si>
    <t>10mm of CaF2. internal transmission of CaF2 is &gt;99.9 over HISPEC bandpass. See CaF2_Transmission.xlsx</t>
  </si>
  <si>
    <t>PIAA AR Coating Surf 1</t>
  </si>
  <si>
    <t>coatings\PIAA\YJ_AR_coating_PIAA.csv</t>
  </si>
  <si>
    <t>taken from Quotation #26006-2.pdf</t>
  </si>
  <si>
    <t>PIAA AR Coating Surf 2</t>
  </si>
  <si>
    <t>four surfaces for the PIAA</t>
  </si>
  <si>
    <t>PIAA AR Coating Surf 3</t>
  </si>
  <si>
    <t>PIAA AR Coating Surf 4</t>
  </si>
  <si>
    <t>AR Coating S1</t>
  </si>
  <si>
    <t>Focusing Lens 1 (BaF2)</t>
  </si>
  <si>
    <t>glass\BaF2 transmission.txt</t>
  </si>
  <si>
    <t>AR Coating S2</t>
  </si>
  <si>
    <t>Focusing Lens 1 (S-NBH58)</t>
  </si>
  <si>
    <t>glass\S-NBH58 transmission.txt</t>
  </si>
  <si>
    <t>Focusing Lens (S-LAL58)</t>
  </si>
  <si>
    <t>glass\S-LAL58 transmission.txt</t>
  </si>
  <si>
    <t>FEI RED</t>
  </si>
  <si>
    <t>In transmission red arm sees back side AR coating</t>
  </si>
  <si>
    <t>CSD Dichroic Transmission</t>
  </si>
  <si>
    <t>coatings\Asahi\Final transmission model(Channel splitting dichroic)_transmission.csv</t>
  </si>
  <si>
    <t>CSD Dichroic AR Coating</t>
  </si>
  <si>
    <t>coatings\Asahi\AR_Channel splitting dichroic.csv</t>
  </si>
  <si>
    <t>10mm of caf2. Internal transmission of CaF2 is &gt;99.9 over HISPEC bandpass. See CaF2_Transmission.xlsx</t>
  </si>
  <si>
    <t>coatings\PIAA\HK_AR_coating_PIAA.csv</t>
  </si>
  <si>
    <t>digitized from Quotation #26006-2.pdf</t>
  </si>
  <si>
    <t>Vendor estimate is 0.7% R ave for each surface - to be updated once manufactured</t>
  </si>
  <si>
    <t>Zemax model</t>
  </si>
  <si>
    <t>glass\CAF2 transmission.txt</t>
  </si>
  <si>
    <t>COUPLING NGS</t>
  </si>
  <si>
    <t>PIAA boost</t>
  </si>
  <si>
    <t>HO WFE Strehl 120nm (NGS)</t>
  </si>
  <si>
    <t>coupling\strehl_howfe_120nm.csv</t>
  </si>
  <si>
    <t>High Order WFE strehl not included in coupling file, compute strehl based on Wavelength</t>
  </si>
  <si>
    <t>Fiber Coupling (NGS)</t>
  </si>
  <si>
    <t>coupling\couplingEff_atm1_adc1_PL0_defoc25nmRMS_LO50nmRMS_ttStatic0mas_ttDynamic3.5masRMS.csv</t>
  </si>
  <si>
    <t>Gary Ruane</t>
  </si>
  <si>
    <t>Simulations done for 0.16 NA Fiber with core rad 2.2 um (red) and 0.126 NA fiber with 4.1um core (blue)</t>
  </si>
  <si>
    <t>AR Coating</t>
  </si>
  <si>
    <t>COUPLING LGS</t>
  </si>
  <si>
    <t>HO WFE Strehl 230 nm (LGS)</t>
  </si>
  <si>
    <t>coupling\strehl_howfe_230nm.csv</t>
  </si>
  <si>
    <t>add note about AO assumption</t>
  </si>
  <si>
    <t>Fiber Coupling (LGS)</t>
  </si>
  <si>
    <t>coupling\couplingEff_atm1_adc1_PL0_defoc25nmRMS_LO50nmRMS_ttStatic0mas_ttDynamic9masRMS.csv</t>
  </si>
  <si>
    <t>Gary Ruane Code</t>
  </si>
  <si>
    <t>COUPLING PERFECT</t>
  </si>
  <si>
    <t>Coupling</t>
  </si>
  <si>
    <t>can adjust this if want to include some arbitrary coupling based on expectations for a test setup</t>
  </si>
  <si>
    <t>COUPLING PL</t>
  </si>
  <si>
    <t>Fiber Coupling (PL)</t>
  </si>
  <si>
    <t>For Photonic Lantern Case in the blue</t>
  </si>
  <si>
    <t>FIBER TRANSMISSION BLUE</t>
  </si>
  <si>
    <t>Propogation</t>
  </si>
  <si>
    <t>fiber\ofs_throughput_10m.csv</t>
  </si>
  <si>
    <t>OFS_ClearLite_980_16_65m.xlsx</t>
  </si>
  <si>
    <t>ofs data scaled to 10m and set path length here</t>
  </si>
  <si>
    <t>Connects</t>
  </si>
  <si>
    <t>Fiber Routing Diagram</t>
  </si>
  <si>
    <t>Considers four connections, 0.97 each</t>
  </si>
  <si>
    <t>output to spec</t>
  </si>
  <si>
    <t>FIBER TRANSMISSION RED</t>
  </si>
  <si>
    <t>fiber\zblan_throughput_10m.csv</t>
  </si>
  <si>
    <t>LVF correspondance</t>
  </si>
  <si>
    <t>zblan goal setpoint</t>
  </si>
  <si>
    <t>BSPEC</t>
  </si>
  <si>
    <t xml:space="preserve">COL 1 </t>
  </si>
  <si>
    <t>coatings\protected_au.csv</t>
  </si>
  <si>
    <t>COL 2</t>
  </si>
  <si>
    <t>COL 3</t>
  </si>
  <si>
    <t>Cold Stop</t>
  </si>
  <si>
    <t>Echelle</t>
  </si>
  <si>
    <t>grating\echelle_canon.csv</t>
  </si>
  <si>
    <t>Canon</t>
  </si>
  <si>
    <t>The raw data arent well sampled and orders shifted so we took another curve and made the throughput match * 95% for margin</t>
  </si>
  <si>
    <t>Echelle Margin</t>
  </si>
  <si>
    <t>margin is in the raw file for now until get better data from canon</t>
  </si>
  <si>
    <t>Cross Disperser</t>
  </si>
  <si>
    <t>grating\cx_bspec.csv</t>
  </si>
  <si>
    <t>From canon - RCWA</t>
  </si>
  <si>
    <t>CX Margin</t>
  </si>
  <si>
    <t xml:space="preserve">margin  </t>
  </si>
  <si>
    <t>CAM 1</t>
  </si>
  <si>
    <t>CAM 2</t>
  </si>
  <si>
    <t>CAM 3</t>
  </si>
  <si>
    <t>H4RG Options Summary - 1% lower</t>
  </si>
  <si>
    <t>Goddard data - 1 % lower, assuming 18856 or 18854</t>
  </si>
  <si>
    <t>RSPEC</t>
  </si>
  <si>
    <t>grating\cx_rspec.csv</t>
  </si>
  <si>
    <t>from canon, RCWA</t>
  </si>
  <si>
    <t>margin</t>
  </si>
  <si>
    <t>Goddard data - 1 % lower, assuming 18713</t>
  </si>
  <si>
    <t>Mode</t>
  </si>
  <si>
    <t>(JH gap dichroic), (H + JH gap dichroic), (J + H dichroic), (J + JH gap dichroic)</t>
  </si>
  <si>
    <t>TIB NAS TRANSMISSION BLUE</t>
  </si>
  <si>
    <t>TIB NAS TRANSMISSION RED</t>
  </si>
  <si>
    <t>Considers 1 connections, 0.97 each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</si>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</sst>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indexed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sz val="14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D4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4FA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">
    <xf numFmtId="0" fontId="0" fillId="0" borderId="0" applyNumberFormat="0" applyFill="0" applyBorder="0" applyProtection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49" fontId="1" fillId="2" borderId="1" xfId="0" applyNumberFormat="1" applyFont="1" applyFill="1" applyBorder="1"/>
    <xf numFmtId="0" fontId="1" fillId="0" borderId="0" xfId="0" applyNumberFormat="1" applyFont="1"/>
    <xf numFmtId="0" fontId="2" fillId="2" borderId="1" xfId="0" applyNumberFormat="1" applyFont="1" applyFill="1" applyBorder="1"/>
    <xf numFmtId="49" fontId="2" fillId="2" borderId="1" xfId="0" applyNumberFormat="1" applyFont="1" applyFill="1" applyBorder="1"/>
    <xf numFmtId="49" fontId="3" fillId="2" borderId="1" xfId="0" applyNumberFormat="1" applyFont="1" applyFill="1" applyBorder="1"/>
    <xf numFmtId="0" fontId="1" fillId="2" borderId="1" xfId="0" applyFont="1" applyFill="1" applyBorder="1"/>
    <xf numFmtId="0" fontId="1" fillId="4" borderId="1" xfId="0" applyNumberFormat="1" applyFont="1" applyFill="1" applyBorder="1"/>
    <xf numFmtId="49" fontId="1" fillId="4" borderId="1" xfId="0" applyNumberFormat="1" applyFont="1" applyFill="1" applyBorder="1"/>
    <xf numFmtId="0" fontId="1" fillId="3" borderId="1" xfId="0" applyNumberFormat="1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/>
    <xf numFmtId="2" fontId="2" fillId="2" borderId="1" xfId="0" applyNumberFormat="1" applyFont="1" applyFill="1" applyBorder="1"/>
    <xf numFmtId="0" fontId="2" fillId="2" borderId="1" xfId="0" applyFont="1" applyFill="1" applyBorder="1"/>
    <xf numFmtId="2" fontId="1" fillId="2" borderId="1" xfId="0" applyNumberFormat="1" applyFont="1" applyFill="1" applyBorder="1"/>
    <xf numFmtId="0" fontId="1" fillId="5" borderId="1" xfId="0" applyNumberFormat="1" applyFont="1" applyFill="1" applyBorder="1"/>
    <xf numFmtId="49" fontId="1" fillId="5" borderId="1" xfId="0" applyNumberFormat="1" applyFont="1" applyFill="1" applyBorder="1"/>
    <xf numFmtId="0" fontId="1" fillId="5" borderId="1" xfId="0" applyFont="1" applyFill="1" applyBorder="1"/>
    <xf numFmtId="0" fontId="1" fillId="5" borderId="0" xfId="0" applyNumberFormat="1" applyFont="1" applyFill="1"/>
    <xf numFmtId="0" fontId="1" fillId="6" borderId="1" xfId="0" applyNumberFormat="1" applyFont="1" applyFill="1" applyBorder="1"/>
    <xf numFmtId="49" fontId="1" fillId="6" borderId="1" xfId="0" applyNumberFormat="1" applyFont="1" applyFill="1" applyBorder="1"/>
    <xf numFmtId="0" fontId="1" fillId="6" borderId="1" xfId="0" applyFont="1" applyFill="1" applyBorder="1"/>
    <xf numFmtId="0" fontId="1" fillId="6" borderId="0" xfId="0" applyNumberFormat="1" applyFont="1" applyFill="1"/>
    <xf numFmtId="0" fontId="1" fillId="7" borderId="1" xfId="0" applyFont="1" applyFill="1" applyBorder="1"/>
    <xf numFmtId="0" fontId="1" fillId="7" borderId="0" xfId="0" applyNumberFormat="1" applyFont="1" applyFill="1"/>
    <xf numFmtId="0" fontId="1" fillId="7" borderId="1" xfId="0" applyNumberFormat="1" applyFont="1" applyFill="1" applyBorder="1"/>
    <xf numFmtId="49" fontId="1" fillId="7" borderId="1" xfId="0" applyNumberFormat="1" applyFont="1" applyFill="1" applyBorder="1"/>
    <xf numFmtId="0" fontId="1" fillId="8" borderId="1" xfId="0" applyNumberFormat="1" applyFont="1" applyFill="1" applyBorder="1"/>
    <xf numFmtId="49" fontId="1" fillId="8" borderId="1" xfId="0" applyNumberFormat="1" applyFont="1" applyFill="1" applyBorder="1"/>
    <xf numFmtId="0" fontId="1" fillId="8" borderId="1" xfId="0" applyFont="1" applyFill="1" applyBorder="1"/>
    <xf numFmtId="0" fontId="1" fillId="8" borderId="0" xfId="0" applyNumberFormat="1" applyFont="1" applyFill="1"/>
    <xf numFmtId="2" fontId="1" fillId="8" borderId="1" xfId="0" applyNumberFormat="1" applyFont="1" applyFill="1" applyBorder="1"/>
    <xf numFmtId="49" fontId="4" fillId="8" borderId="1" xfId="0" applyNumberFormat="1" applyFont="1" applyFill="1" applyBorder="1"/>
    <xf numFmtId="0" fontId="4" fillId="8" borderId="1" xfId="0" applyFont="1" applyFill="1" applyBorder="1"/>
    <xf numFmtId="0" fontId="1" fillId="7" borderId="1" xfId="0" quotePrefix="1" applyNumberFormat="1" applyFont="1" applyFill="1" applyBorder="1"/>
    <xf numFmtId="0" fontId="1" fillId="6" borderId="1" xfId="0" quotePrefix="1" applyNumberFormat="1" applyFont="1" applyFill="1" applyBorder="1"/>
    <xf numFmtId="49" fontId="1" fillId="9" borderId="1" xfId="0" applyNumberFormat="1" applyFont="1" applyFill="1" applyBorder="1"/>
    <xf numFmtId="2" fontId="1" fillId="9" borderId="1" xfId="0" applyNumberFormat="1" applyFont="1" applyFill="1" applyBorder="1"/>
    <xf numFmtId="0" fontId="1" fillId="9" borderId="1" xfId="0" applyNumberFormat="1" applyFont="1" applyFill="1" applyBorder="1"/>
    <xf numFmtId="0" fontId="5" fillId="7" borderId="1" xfId="1" applyFill="1" applyBorder="1"/>
    <xf numFmtId="0" fontId="5" fillId="6" borderId="1" xfId="1" applyFill="1" applyBorder="1"/>
    <xf numFmtId="0" fontId="6" fillId="10" borderId="2" xfId="0" applyFont="1" applyFill="1" applyBorder="1"/>
    <xf numFmtId="49" fontId="6" fillId="10" borderId="3" xfId="0" applyNumberFormat="1" applyFont="1" applyFill="1" applyBorder="1"/>
    <xf numFmtId="0" fontId="6" fillId="10" borderId="3" xfId="0" applyFont="1" applyFill="1" applyBorder="1"/>
    <xf numFmtId="2" fontId="6" fillId="10" borderId="3" xfId="0" applyNumberFormat="1" applyFont="1" applyFill="1" applyBorder="1"/>
    <xf numFmtId="49" fontId="1" fillId="11" borderId="1" xfId="0" applyNumberFormat="1" applyFont="1" applyFill="1" applyBorder="1"/>
    <xf numFmtId="0" fontId="1" fillId="11" borderId="1" xfId="0" applyNumberFormat="1" applyFont="1" applyFill="1" applyBorder="1"/>
    <xf numFmtId="49" fontId="1" fillId="12" borderId="1" xfId="0" applyNumberFormat="1" applyFont="1" applyFill="1" applyBorder="1"/>
    <xf numFmtId="0" fontId="1" fillId="12" borderId="1" xfId="0" applyNumberFormat="1" applyFont="1" applyFill="1" applyBorder="1"/>
    <xf numFmtId="49" fontId="1" fillId="5" borderId="1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BBBBB"/>
      <rgbColor rgb="FFA5A5A5"/>
      <rgbColor rgb="FFAE341D"/>
      <rgbColor rgb="FFE2EEDA"/>
      <rgbColor rgb="FFDEEAF6"/>
      <rgbColor rgb="FFFFDF7F"/>
      <rgbColor rgb="FFFFCF3F"/>
      <rgbColor rgb="FFB7D6A3"/>
      <rgbColor rgb="FFF6BE98"/>
      <rgbColor rgb="FF0000FF"/>
      <rgbColor rgb="FF0563C1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4FA"/>
      <color rgb="FFAF6EFF"/>
      <color rgb="FFA26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ker, Ashley" id="{A1FA452A-7AE5-5E47-BFE8-E116E5BB88FD}" userId="S::abaker@caltech.edu::021dcf95-5f8b-4576-a618-80bd3ffa2bb6" providerId="AD"/>
</personList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7" dT="2024-08-08T00:13:48.98" personId="{A1FA452A-7AE5-5E47-BFE8-E116E5BB88FD}" id="{56141629-55F1-1446-BFB4-120BC87945C5}">
    <text>Update this to LGS option</text>
  </threadedComment>
  <threadedComment ref="C103" dT="2024-08-08T01:28:37.98" personId="{A1FA452A-7AE5-5E47-BFE8-E116E5BB88FD}" id="{7F1D9F1A-5EC9-6C43-BCC4-B706F903AA15}">
    <text>Need to add this as an option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caltech.sharepoint.com/:p:/r/sites/coo/hispec/_layouts/15/Doc.aspx?sourcedoc=%7B1E55AB49-E6D2-4298-8193-FC6262B15238%7D&amp;file=H4RG%20Options%20Summary.pptx&amp;action=edit&amp;mobileredirect=true" TargetMode="External"/><Relationship Id="rId1" Type="http://schemas.openxmlformats.org/officeDocument/2006/relationships/hyperlink" Target="https://caltech.sharepoint.com/:p:/r/sites/coo/hispec/_layouts/15/Doc.aspx?sourcedoc=%7B1E55AB49-E6D2-4298-8193-FC6262B15238%7D&amp;file=H4RG%20Options%20Summary.pptx&amp;action=edit&amp;mobileredirect=true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"/>
  <sheetViews>
    <sheetView showGridLines="0" tabSelected="1" topLeftCell="A105" workbookViewId="0">
      <selection activeCell="A145" sqref="A145:XFD145"/>
    </sheetView>
  </sheetViews>
  <sheetFormatPr baseColWidth="10" defaultColWidth="8.83203125" defaultRowHeight="19" x14ac:dyDescent="0.25"/>
  <cols>
    <col min="1" max="1" width="8.5" style="2" customWidth="1"/>
    <col min="2" max="2" width="22.33203125" style="2" customWidth="1"/>
    <col min="3" max="3" width="31.33203125" style="2" customWidth="1"/>
    <col min="4" max="4" width="8.83203125" style="2" customWidth="1"/>
    <col min="5" max="5" width="9.5" style="2" customWidth="1"/>
    <col min="6" max="6" width="61" style="2" customWidth="1"/>
    <col min="7" max="7" width="70" style="2" customWidth="1"/>
    <col min="8" max="8" width="21.33203125" style="2" customWidth="1"/>
    <col min="9" max="9" width="122" style="2" customWidth="1"/>
    <col min="10" max="10" width="8.83203125" style="2" customWidth="1"/>
    <col min="11" max="16384" width="8.832031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181</v>
      </c>
      <c r="H1" s="1" t="s">
        <v>6</v>
      </c>
      <c r="I1" s="1" t="s">
        <v>7</v>
      </c>
    </row>
    <row r="2" spans="1:9" x14ac:dyDescent="0.25">
      <c r="A2" s="3" t="b">
        <v>0</v>
      </c>
      <c r="B2" s="4" t="s">
        <v>8</v>
      </c>
      <c r="C2" s="5" t="s">
        <v>9</v>
      </c>
      <c r="D2" s="6"/>
      <c r="E2" s="6"/>
      <c r="F2" s="6"/>
      <c r="G2" s="6"/>
      <c r="H2" s="6"/>
      <c r="I2" s="6"/>
    </row>
    <row r="3" spans="1:9" s="30" customFormat="1" x14ac:dyDescent="0.25">
      <c r="A3" s="27">
        <v>1</v>
      </c>
      <c r="B3" s="28" t="s">
        <v>10</v>
      </c>
      <c r="C3" s="28" t="s">
        <v>11</v>
      </c>
      <c r="D3" s="28" t="s">
        <v>12</v>
      </c>
      <c r="E3" s="29"/>
      <c r="F3" s="28" t="s">
        <v>13</v>
      </c>
      <c r="G3" s="28"/>
      <c r="H3" s="28" t="s">
        <v>14</v>
      </c>
      <c r="I3" s="28" t="s">
        <v>15</v>
      </c>
    </row>
    <row r="4" spans="1:9" s="30" customFormat="1" x14ac:dyDescent="0.25">
      <c r="A4" s="27">
        <v>1</v>
      </c>
      <c r="B4" s="28" t="s">
        <v>10</v>
      </c>
      <c r="C4" s="28" t="s">
        <v>16</v>
      </c>
      <c r="D4" s="28" t="s">
        <v>12</v>
      </c>
      <c r="E4" s="29"/>
      <c r="F4" s="28" t="s">
        <v>17</v>
      </c>
      <c r="G4" s="28"/>
      <c r="H4" s="28" t="s">
        <v>14</v>
      </c>
      <c r="I4" s="28" t="s">
        <v>18</v>
      </c>
    </row>
    <row r="5" spans="1:9" s="30" customFormat="1" x14ac:dyDescent="0.25">
      <c r="A5" s="27">
        <v>1</v>
      </c>
      <c r="B5" s="28" t="s">
        <v>10</v>
      </c>
      <c r="C5" s="28" t="s">
        <v>19</v>
      </c>
      <c r="D5" s="28" t="s">
        <v>12</v>
      </c>
      <c r="E5" s="29"/>
      <c r="F5" s="28" t="s">
        <v>17</v>
      </c>
      <c r="G5" s="28"/>
      <c r="H5" s="28" t="s">
        <v>14</v>
      </c>
      <c r="I5" s="28"/>
    </row>
    <row r="6" spans="1:9" s="30" customFormat="1" x14ac:dyDescent="0.25">
      <c r="A6" s="27">
        <v>1</v>
      </c>
      <c r="B6" s="28" t="s">
        <v>20</v>
      </c>
      <c r="C6" s="28" t="s">
        <v>21</v>
      </c>
      <c r="D6" s="27">
        <v>0.99299999999999999</v>
      </c>
      <c r="E6" s="29"/>
      <c r="F6" s="29"/>
      <c r="G6" s="29"/>
      <c r="H6" s="28" t="s">
        <v>22</v>
      </c>
      <c r="I6" s="28" t="s">
        <v>23</v>
      </c>
    </row>
    <row r="7" spans="1:9" s="30" customFormat="1" x14ac:dyDescent="0.25">
      <c r="A7" s="27">
        <v>0</v>
      </c>
      <c r="B7" s="28" t="s">
        <v>20</v>
      </c>
      <c r="C7" s="28" t="s">
        <v>24</v>
      </c>
      <c r="D7" s="27">
        <v>0.95499999999999996</v>
      </c>
      <c r="E7" s="29"/>
      <c r="F7" s="28" t="s">
        <v>12</v>
      </c>
      <c r="G7" s="28"/>
      <c r="H7" s="28" t="s">
        <v>22</v>
      </c>
      <c r="I7" s="28" t="s">
        <v>25</v>
      </c>
    </row>
    <row r="8" spans="1:9" x14ac:dyDescent="0.25">
      <c r="A8" s="3" t="b">
        <v>0</v>
      </c>
      <c r="B8" s="4" t="s">
        <v>8</v>
      </c>
      <c r="C8" s="5" t="s">
        <v>26</v>
      </c>
      <c r="D8" s="6"/>
      <c r="E8" s="6"/>
      <c r="F8" s="6"/>
      <c r="G8" s="6"/>
      <c r="H8" s="6"/>
      <c r="I8" s="1"/>
    </row>
    <row r="9" spans="1:9" s="30" customFormat="1" x14ac:dyDescent="0.25">
      <c r="A9" s="27">
        <v>1</v>
      </c>
      <c r="B9" s="28" t="s">
        <v>10</v>
      </c>
      <c r="C9" s="28" t="s">
        <v>27</v>
      </c>
      <c r="D9" s="28" t="s">
        <v>12</v>
      </c>
      <c r="E9" s="29"/>
      <c r="F9" s="28" t="s">
        <v>28</v>
      </c>
      <c r="G9" s="28"/>
      <c r="H9" s="28"/>
      <c r="I9" s="28"/>
    </row>
    <row r="10" spans="1:9" s="30" customFormat="1" x14ac:dyDescent="0.25">
      <c r="A10" s="27">
        <v>1</v>
      </c>
      <c r="B10" s="28" t="s">
        <v>20</v>
      </c>
      <c r="C10" s="28" t="s">
        <v>29</v>
      </c>
      <c r="D10" s="27">
        <v>0.97799999999999998</v>
      </c>
      <c r="E10" s="29"/>
      <c r="F10" s="28" t="s">
        <v>12</v>
      </c>
      <c r="G10" s="28"/>
      <c r="H10" s="28"/>
      <c r="I10" s="28"/>
    </row>
    <row r="11" spans="1:9" s="30" customFormat="1" x14ac:dyDescent="0.25">
      <c r="A11" s="27">
        <v>1</v>
      </c>
      <c r="B11" s="28" t="s">
        <v>10</v>
      </c>
      <c r="C11" s="28" t="s">
        <v>30</v>
      </c>
      <c r="D11" s="31" t="s">
        <v>12</v>
      </c>
      <c r="E11" s="29"/>
      <c r="F11" s="28" t="s">
        <v>31</v>
      </c>
      <c r="G11" s="28"/>
      <c r="H11" s="28"/>
      <c r="I11" s="28"/>
    </row>
    <row r="12" spans="1:9" s="30" customFormat="1" x14ac:dyDescent="0.25">
      <c r="A12" s="27">
        <v>1</v>
      </c>
      <c r="B12" s="28" t="s">
        <v>20</v>
      </c>
      <c r="C12" s="28" t="s">
        <v>29</v>
      </c>
      <c r="D12" s="27">
        <v>0.97799999999999998</v>
      </c>
      <c r="E12" s="29"/>
      <c r="F12" s="28" t="s">
        <v>12</v>
      </c>
      <c r="G12" s="28"/>
      <c r="H12" s="28"/>
      <c r="I12" s="28"/>
    </row>
    <row r="13" spans="1:9" s="30" customFormat="1" x14ac:dyDescent="0.25">
      <c r="A13" s="27">
        <v>1</v>
      </c>
      <c r="B13" s="28" t="s">
        <v>10</v>
      </c>
      <c r="C13" s="28" t="s">
        <v>32</v>
      </c>
      <c r="D13" s="31" t="s">
        <v>12</v>
      </c>
      <c r="E13" s="29"/>
      <c r="F13" s="28" t="s">
        <v>28</v>
      </c>
      <c r="G13" s="28"/>
      <c r="H13" s="28"/>
      <c r="I13" s="28"/>
    </row>
    <row r="14" spans="1:9" s="30" customFormat="1" x14ac:dyDescent="0.25">
      <c r="A14" s="27">
        <v>1</v>
      </c>
      <c r="B14" s="28" t="s">
        <v>20</v>
      </c>
      <c r="C14" s="28" t="s">
        <v>29</v>
      </c>
      <c r="D14" s="27">
        <v>0.97799999999999998</v>
      </c>
      <c r="E14" s="29"/>
      <c r="F14" s="28" t="s">
        <v>12</v>
      </c>
      <c r="G14" s="28"/>
      <c r="H14" s="28"/>
      <c r="I14" s="28"/>
    </row>
    <row r="15" spans="1:9" s="30" customFormat="1" x14ac:dyDescent="0.25">
      <c r="A15" s="27">
        <v>1</v>
      </c>
      <c r="B15" s="28" t="s">
        <v>10</v>
      </c>
      <c r="C15" s="28" t="s">
        <v>33</v>
      </c>
      <c r="D15" s="31" t="s">
        <v>12</v>
      </c>
      <c r="E15" s="29"/>
      <c r="F15" s="28" t="s">
        <v>34</v>
      </c>
      <c r="G15" s="28"/>
      <c r="H15" s="28"/>
      <c r="I15" s="28"/>
    </row>
    <row r="16" spans="1:9" s="30" customFormat="1" x14ac:dyDescent="0.25">
      <c r="A16" s="27">
        <v>1</v>
      </c>
      <c r="B16" s="28" t="s">
        <v>20</v>
      </c>
      <c r="C16" s="28" t="s">
        <v>29</v>
      </c>
      <c r="D16" s="27">
        <v>0.97799999999999998</v>
      </c>
      <c r="E16" s="29"/>
      <c r="F16" s="28" t="s">
        <v>12</v>
      </c>
      <c r="G16" s="28"/>
      <c r="H16" s="28"/>
      <c r="I16" s="28"/>
    </row>
    <row r="17" spans="1:9" s="30" customFormat="1" x14ac:dyDescent="0.25">
      <c r="A17" s="27">
        <v>1</v>
      </c>
      <c r="B17" s="28" t="s">
        <v>10</v>
      </c>
      <c r="C17" s="28" t="s">
        <v>35</v>
      </c>
      <c r="D17" s="31" t="s">
        <v>12</v>
      </c>
      <c r="E17" s="29"/>
      <c r="F17" s="28" t="s">
        <v>34</v>
      </c>
      <c r="G17" s="28"/>
      <c r="H17" s="28"/>
      <c r="I17" s="28"/>
    </row>
    <row r="18" spans="1:9" s="30" customFormat="1" x14ac:dyDescent="0.25">
      <c r="A18" s="27">
        <v>1</v>
      </c>
      <c r="B18" s="28" t="s">
        <v>20</v>
      </c>
      <c r="C18" s="28" t="s">
        <v>29</v>
      </c>
      <c r="D18" s="27">
        <v>0.97799999999999998</v>
      </c>
      <c r="E18" s="29"/>
      <c r="F18" s="28" t="s">
        <v>12</v>
      </c>
      <c r="G18" s="28"/>
      <c r="H18" s="28"/>
      <c r="I18" s="28"/>
    </row>
    <row r="19" spans="1:9" s="30" customFormat="1" x14ac:dyDescent="0.25">
      <c r="A19" s="27">
        <v>1</v>
      </c>
      <c r="B19" s="28" t="s">
        <v>10</v>
      </c>
      <c r="C19" s="28" t="s">
        <v>36</v>
      </c>
      <c r="D19" s="31" t="s">
        <v>12</v>
      </c>
      <c r="E19" s="29"/>
      <c r="F19" s="28" t="s">
        <v>31</v>
      </c>
      <c r="G19" s="28"/>
      <c r="H19" s="28"/>
      <c r="I19" s="28"/>
    </row>
    <row r="20" spans="1:9" s="30" customFormat="1" x14ac:dyDescent="0.25">
      <c r="A20" s="27">
        <v>1</v>
      </c>
      <c r="B20" s="28" t="s">
        <v>20</v>
      </c>
      <c r="C20" s="28" t="s">
        <v>29</v>
      </c>
      <c r="D20" s="27">
        <v>0.97799999999999998</v>
      </c>
      <c r="E20" s="29"/>
      <c r="F20" s="28" t="s">
        <v>12</v>
      </c>
      <c r="G20" s="28"/>
      <c r="H20" s="28"/>
      <c r="I20" s="28"/>
    </row>
    <row r="21" spans="1:9" s="30" customFormat="1" x14ac:dyDescent="0.25">
      <c r="A21" s="27">
        <v>1</v>
      </c>
      <c r="B21" s="28" t="s">
        <v>10</v>
      </c>
      <c r="C21" s="28" t="s">
        <v>37</v>
      </c>
      <c r="D21" s="31" t="s">
        <v>12</v>
      </c>
      <c r="E21" s="29"/>
      <c r="F21" s="28" t="s">
        <v>34</v>
      </c>
      <c r="G21" s="28"/>
      <c r="H21" s="28"/>
      <c r="I21" s="28"/>
    </row>
    <row r="22" spans="1:9" s="30" customFormat="1" x14ac:dyDescent="0.25">
      <c r="A22" s="27">
        <v>1</v>
      </c>
      <c r="B22" s="28" t="s">
        <v>20</v>
      </c>
      <c r="C22" s="28" t="s">
        <v>29</v>
      </c>
      <c r="D22" s="27">
        <v>0.97799999999999998</v>
      </c>
      <c r="E22" s="29"/>
      <c r="F22" s="28" t="s">
        <v>12</v>
      </c>
      <c r="G22" s="28"/>
      <c r="H22" s="28"/>
      <c r="I22" s="28"/>
    </row>
    <row r="23" spans="1:9" s="30" customFormat="1" x14ac:dyDescent="0.25">
      <c r="A23" s="27">
        <v>1</v>
      </c>
      <c r="B23" s="28" t="s">
        <v>10</v>
      </c>
      <c r="C23" s="28" t="s">
        <v>38</v>
      </c>
      <c r="D23" s="31" t="s">
        <v>12</v>
      </c>
      <c r="E23" s="29"/>
      <c r="F23" s="28" t="s">
        <v>39</v>
      </c>
      <c r="G23" s="28"/>
      <c r="H23" s="28"/>
      <c r="I23" s="28"/>
    </row>
    <row r="24" spans="1:9" s="30" customFormat="1" x14ac:dyDescent="0.25">
      <c r="A24" s="27">
        <v>1</v>
      </c>
      <c r="B24" s="28" t="s">
        <v>20</v>
      </c>
      <c r="C24" s="28" t="s">
        <v>29</v>
      </c>
      <c r="D24" s="27">
        <v>0.97799999999999998</v>
      </c>
      <c r="E24" s="29"/>
      <c r="F24" s="28" t="s">
        <v>12</v>
      </c>
      <c r="G24" s="28"/>
      <c r="H24" s="28"/>
      <c r="I24" s="28"/>
    </row>
    <row r="25" spans="1:9" s="30" customFormat="1" x14ac:dyDescent="0.25">
      <c r="A25" s="27">
        <v>1</v>
      </c>
      <c r="B25" s="28" t="s">
        <v>10</v>
      </c>
      <c r="C25" s="28" t="s">
        <v>40</v>
      </c>
      <c r="D25" s="31" t="s">
        <v>12</v>
      </c>
      <c r="E25" s="29"/>
      <c r="F25" s="28" t="s">
        <v>28</v>
      </c>
      <c r="G25" s="28"/>
      <c r="H25" s="28"/>
      <c r="I25" s="28"/>
    </row>
    <row r="26" spans="1:9" s="30" customFormat="1" x14ac:dyDescent="0.25">
      <c r="A26" s="27">
        <v>1</v>
      </c>
      <c r="B26" s="28" t="s">
        <v>20</v>
      </c>
      <c r="C26" s="28" t="s">
        <v>29</v>
      </c>
      <c r="D26" s="27">
        <v>0.97799999999999998</v>
      </c>
      <c r="E26" s="29"/>
      <c r="F26" s="28" t="s">
        <v>12</v>
      </c>
      <c r="G26" s="28"/>
      <c r="H26" s="28"/>
      <c r="I26" s="28"/>
    </row>
    <row r="27" spans="1:9" x14ac:dyDescent="0.25">
      <c r="A27" s="3" t="b">
        <v>0</v>
      </c>
      <c r="B27" s="4" t="s">
        <v>8</v>
      </c>
      <c r="C27" s="5" t="s">
        <v>41</v>
      </c>
      <c r="D27" s="12"/>
      <c r="E27" s="13"/>
      <c r="F27" s="13"/>
      <c r="G27" s="13"/>
      <c r="H27" s="13"/>
      <c r="I27" s="4"/>
    </row>
    <row r="28" spans="1:9" s="30" customFormat="1" x14ac:dyDescent="0.25">
      <c r="A28" s="27">
        <v>1</v>
      </c>
      <c r="B28" s="28" t="s">
        <v>20</v>
      </c>
      <c r="C28" s="28" t="s">
        <v>42</v>
      </c>
      <c r="D28" s="31">
        <v>1</v>
      </c>
      <c r="E28" s="29"/>
      <c r="F28" s="29"/>
      <c r="G28" s="29"/>
      <c r="H28" s="29"/>
      <c r="I28" s="29" t="s">
        <v>43</v>
      </c>
    </row>
    <row r="29" spans="1:9" s="30" customFormat="1" x14ac:dyDescent="0.25">
      <c r="A29" s="27">
        <v>1</v>
      </c>
      <c r="B29" s="28" t="s">
        <v>10</v>
      </c>
      <c r="C29" s="28" t="s">
        <v>44</v>
      </c>
      <c r="D29" s="31" t="s">
        <v>12</v>
      </c>
      <c r="E29" s="29"/>
      <c r="F29" s="29" t="s">
        <v>45</v>
      </c>
      <c r="G29" s="29"/>
      <c r="H29" s="29" t="s">
        <v>46</v>
      </c>
      <c r="I29" s="29"/>
    </row>
    <row r="30" spans="1:9" s="30" customFormat="1" ht="20" customHeight="1" x14ac:dyDescent="0.25">
      <c r="A30" s="27">
        <v>1</v>
      </c>
      <c r="B30" s="28" t="s">
        <v>10</v>
      </c>
      <c r="C30" s="28" t="s">
        <v>47</v>
      </c>
      <c r="D30" s="31" t="s">
        <v>12</v>
      </c>
      <c r="E30" s="29"/>
      <c r="F30" s="29" t="s">
        <v>48</v>
      </c>
      <c r="G30" s="29"/>
      <c r="H30" s="29" t="s">
        <v>49</v>
      </c>
      <c r="I30" s="29" t="s">
        <v>50</v>
      </c>
    </row>
    <row r="31" spans="1:9" s="30" customFormat="1" x14ac:dyDescent="0.25">
      <c r="A31" s="27">
        <v>1</v>
      </c>
      <c r="B31" s="28" t="s">
        <v>10</v>
      </c>
      <c r="C31" s="28" t="s">
        <v>51</v>
      </c>
      <c r="D31" s="31" t="s">
        <v>12</v>
      </c>
      <c r="E31" s="29"/>
      <c r="F31" s="29" t="s">
        <v>52</v>
      </c>
      <c r="G31" s="29"/>
      <c r="H31" s="29"/>
      <c r="I31" s="29" t="s">
        <v>53</v>
      </c>
    </row>
    <row r="32" spans="1:9" s="30" customFormat="1" x14ac:dyDescent="0.25">
      <c r="A32" s="27">
        <v>1</v>
      </c>
      <c r="B32" s="28" t="s">
        <v>54</v>
      </c>
      <c r="C32" s="28" t="s">
        <v>55</v>
      </c>
      <c r="D32" s="31">
        <v>4</v>
      </c>
      <c r="E32" s="29"/>
      <c r="F32" s="29" t="s">
        <v>56</v>
      </c>
      <c r="G32" s="29"/>
      <c r="H32" s="29"/>
      <c r="I32" s="30" t="s">
        <v>57</v>
      </c>
    </row>
    <row r="33" spans="1:9" s="30" customFormat="1" x14ac:dyDescent="0.25">
      <c r="A33" s="27">
        <v>1</v>
      </c>
      <c r="B33" s="28" t="s">
        <v>10</v>
      </c>
      <c r="C33" s="28" t="s">
        <v>51</v>
      </c>
      <c r="D33" s="31" t="s">
        <v>12</v>
      </c>
      <c r="E33" s="29"/>
      <c r="F33" s="29" t="s">
        <v>52</v>
      </c>
      <c r="G33" s="29"/>
      <c r="H33" s="29"/>
      <c r="I33" s="29" t="s">
        <v>58</v>
      </c>
    </row>
    <row r="34" spans="1:9" s="30" customFormat="1" x14ac:dyDescent="0.25">
      <c r="A34" s="41">
        <v>1</v>
      </c>
      <c r="B34" s="42" t="s">
        <v>10</v>
      </c>
      <c r="C34" s="42" t="s">
        <v>59</v>
      </c>
      <c r="D34" s="44" t="s">
        <v>12</v>
      </c>
      <c r="E34" s="43"/>
      <c r="F34" s="43" t="s">
        <v>60</v>
      </c>
      <c r="G34" s="43"/>
      <c r="H34" s="43"/>
      <c r="I34" s="43"/>
    </row>
    <row r="35" spans="1:9" s="30" customFormat="1" ht="21" customHeight="1" x14ac:dyDescent="0.25">
      <c r="A35" s="27">
        <v>1</v>
      </c>
      <c r="B35" s="28" t="s">
        <v>54</v>
      </c>
      <c r="C35" s="28" t="s">
        <v>61</v>
      </c>
      <c r="D35" s="31">
        <v>4</v>
      </c>
      <c r="E35" s="29"/>
      <c r="F35" s="29" t="s">
        <v>62</v>
      </c>
      <c r="G35" s="29"/>
      <c r="H35" s="29"/>
      <c r="I35" s="29"/>
    </row>
    <row r="36" spans="1:9" s="30" customFormat="1" x14ac:dyDescent="0.25">
      <c r="A36" s="41">
        <v>1</v>
      </c>
      <c r="B36" s="42" t="s">
        <v>10</v>
      </c>
      <c r="C36" s="42" t="s">
        <v>59</v>
      </c>
      <c r="D36" s="44" t="s">
        <v>12</v>
      </c>
      <c r="E36" s="43"/>
      <c r="F36" s="43" t="s">
        <v>60</v>
      </c>
      <c r="G36" s="43"/>
      <c r="H36" s="43"/>
      <c r="I36" s="43"/>
    </row>
    <row r="37" spans="1:9" s="30" customFormat="1" x14ac:dyDescent="0.25">
      <c r="A37" s="27">
        <v>1</v>
      </c>
      <c r="B37" s="28" t="s">
        <v>10</v>
      </c>
      <c r="C37" s="28" t="s">
        <v>51</v>
      </c>
      <c r="D37" s="31" t="s">
        <v>12</v>
      </c>
      <c r="E37" s="29"/>
      <c r="F37" s="29" t="s">
        <v>52</v>
      </c>
      <c r="G37" s="29"/>
      <c r="H37" s="29"/>
      <c r="I37" s="29" t="s">
        <v>63</v>
      </c>
    </row>
    <row r="38" spans="1:9" s="30" customFormat="1" x14ac:dyDescent="0.25">
      <c r="A38" s="27">
        <v>1</v>
      </c>
      <c r="B38" s="28" t="s">
        <v>54</v>
      </c>
      <c r="C38" s="28" t="s">
        <v>55</v>
      </c>
      <c r="D38" s="31">
        <v>4</v>
      </c>
      <c r="E38" s="29"/>
      <c r="F38" s="29" t="s">
        <v>56</v>
      </c>
      <c r="G38" s="29"/>
      <c r="H38" s="29"/>
      <c r="I38" s="29"/>
    </row>
    <row r="39" spans="1:9" s="30" customFormat="1" x14ac:dyDescent="0.25">
      <c r="A39" s="27">
        <v>1</v>
      </c>
      <c r="B39" s="28" t="s">
        <v>10</v>
      </c>
      <c r="C39" s="28" t="s">
        <v>51</v>
      </c>
      <c r="D39" s="31" t="s">
        <v>12</v>
      </c>
      <c r="E39" s="29"/>
      <c r="F39" s="29" t="s">
        <v>52</v>
      </c>
      <c r="G39" s="29"/>
      <c r="H39" s="29"/>
      <c r="I39" s="29"/>
    </row>
    <row r="40" spans="1:9" s="30" customFormat="1" x14ac:dyDescent="0.25">
      <c r="A40" s="41">
        <v>1</v>
      </c>
      <c r="B40" s="42" t="s">
        <v>10</v>
      </c>
      <c r="C40" s="42" t="s">
        <v>59</v>
      </c>
      <c r="D40" s="44" t="s">
        <v>12</v>
      </c>
      <c r="E40" s="43"/>
      <c r="F40" s="43" t="s">
        <v>60</v>
      </c>
      <c r="G40" s="43"/>
      <c r="H40" s="43"/>
      <c r="I40" s="43"/>
    </row>
    <row r="41" spans="1:9" s="30" customFormat="1" ht="21" customHeight="1" x14ac:dyDescent="0.25">
      <c r="A41" s="27">
        <v>1</v>
      </c>
      <c r="B41" s="28" t="s">
        <v>54</v>
      </c>
      <c r="C41" s="28" t="s">
        <v>61</v>
      </c>
      <c r="D41" s="31">
        <v>4</v>
      </c>
      <c r="E41" s="29"/>
      <c r="F41" s="29" t="s">
        <v>62</v>
      </c>
      <c r="G41" s="29"/>
      <c r="H41" s="29"/>
      <c r="I41" s="29"/>
    </row>
    <row r="42" spans="1:9" s="30" customFormat="1" x14ac:dyDescent="0.25">
      <c r="A42" s="41">
        <v>1</v>
      </c>
      <c r="B42" s="42" t="s">
        <v>10</v>
      </c>
      <c r="C42" s="42" t="s">
        <v>59</v>
      </c>
      <c r="D42" s="44" t="s">
        <v>12</v>
      </c>
      <c r="E42" s="43"/>
      <c r="F42" s="43" t="s">
        <v>60</v>
      </c>
      <c r="G42" s="43"/>
      <c r="H42" s="43"/>
      <c r="I42" s="43"/>
    </row>
    <row r="43" spans="1:9" s="30" customFormat="1" x14ac:dyDescent="0.25">
      <c r="A43" s="27">
        <v>1</v>
      </c>
      <c r="B43" s="28" t="s">
        <v>10</v>
      </c>
      <c r="C43" s="28" t="s">
        <v>64</v>
      </c>
      <c r="D43" s="31" t="s">
        <v>12</v>
      </c>
      <c r="E43" s="29"/>
      <c r="F43" s="29" t="s">
        <v>45</v>
      </c>
      <c r="G43" s="29"/>
      <c r="H43" s="29" t="s">
        <v>46</v>
      </c>
      <c r="I43" s="29"/>
    </row>
    <row r="44" spans="1:9" x14ac:dyDescent="0.25">
      <c r="A44" s="3" t="b">
        <v>0</v>
      </c>
      <c r="B44" s="4" t="s">
        <v>8</v>
      </c>
      <c r="C44" s="5" t="s">
        <v>65</v>
      </c>
      <c r="D44" s="14"/>
      <c r="E44" s="6"/>
      <c r="F44" s="6"/>
      <c r="G44" s="6"/>
      <c r="H44" s="6"/>
      <c r="I44" s="6"/>
    </row>
    <row r="45" spans="1:9" s="18" customFormat="1" ht="22" customHeight="1" x14ac:dyDescent="0.25">
      <c r="A45" s="15">
        <v>1</v>
      </c>
      <c r="B45" s="16" t="s">
        <v>10</v>
      </c>
      <c r="C45" s="36" t="s">
        <v>66</v>
      </c>
      <c r="D45" s="37" t="s">
        <v>12</v>
      </c>
      <c r="E45" s="17"/>
      <c r="F45" s="16" t="s">
        <v>67</v>
      </c>
      <c r="G45" s="49" t="s">
        <v>182</v>
      </c>
      <c r="H45" s="16"/>
      <c r="I45" s="16"/>
    </row>
    <row r="46" spans="1:9" s="18" customFormat="1" x14ac:dyDescent="0.25">
      <c r="A46" s="15">
        <v>1</v>
      </c>
      <c r="B46" s="16" t="s">
        <v>20</v>
      </c>
      <c r="C46" s="16" t="s">
        <v>68</v>
      </c>
      <c r="D46" s="15">
        <v>1</v>
      </c>
      <c r="E46" s="17"/>
      <c r="F46" s="16"/>
      <c r="G46" s="16"/>
      <c r="H46" s="16"/>
      <c r="I46" s="16" t="s">
        <v>69</v>
      </c>
    </row>
    <row r="47" spans="1:9" s="18" customFormat="1" x14ac:dyDescent="0.25">
      <c r="A47" s="15">
        <v>1</v>
      </c>
      <c r="B47" s="16" t="s">
        <v>20</v>
      </c>
      <c r="C47" s="16" t="s">
        <v>70</v>
      </c>
      <c r="D47" s="15">
        <v>0.95499999999999996</v>
      </c>
      <c r="E47" s="17"/>
      <c r="F47" s="16"/>
      <c r="G47" s="16"/>
      <c r="H47" s="16"/>
      <c r="I47" s="16" t="s">
        <v>71</v>
      </c>
    </row>
    <row r="48" spans="1:9" s="18" customFormat="1" x14ac:dyDescent="0.25">
      <c r="A48" s="15">
        <v>1</v>
      </c>
      <c r="B48" s="16" t="s">
        <v>20</v>
      </c>
      <c r="C48" s="16" t="s">
        <v>72</v>
      </c>
      <c r="D48" s="15">
        <v>0.95499999999999996</v>
      </c>
      <c r="E48" s="17"/>
      <c r="F48" s="16"/>
      <c r="G48" s="16"/>
      <c r="H48" s="16"/>
      <c r="I48" s="16" t="s">
        <v>73</v>
      </c>
    </row>
    <row r="49" spans="1:9" s="18" customFormat="1" x14ac:dyDescent="0.25">
      <c r="A49" s="15">
        <v>1</v>
      </c>
      <c r="B49" s="16" t="s">
        <v>10</v>
      </c>
      <c r="C49" s="47" t="s">
        <v>74</v>
      </c>
      <c r="D49" s="48" t="s">
        <v>12</v>
      </c>
      <c r="E49" s="17"/>
      <c r="F49" s="18" t="s">
        <v>75</v>
      </c>
      <c r="H49" s="16" t="s">
        <v>76</v>
      </c>
      <c r="I49" s="47" t="s">
        <v>77</v>
      </c>
    </row>
    <row r="50" spans="1:9" s="18" customFormat="1" x14ac:dyDescent="0.25">
      <c r="A50" s="15">
        <v>1</v>
      </c>
      <c r="B50" s="16" t="s">
        <v>10</v>
      </c>
      <c r="C50" s="45" t="s">
        <v>78</v>
      </c>
      <c r="D50" s="46" t="s">
        <v>12</v>
      </c>
      <c r="E50" s="17"/>
      <c r="F50" s="16" t="s">
        <v>79</v>
      </c>
      <c r="G50" s="16"/>
      <c r="H50" s="16"/>
      <c r="I50" s="16" t="s">
        <v>80</v>
      </c>
    </row>
    <row r="51" spans="1:9" s="18" customFormat="1" ht="21" customHeight="1" x14ac:dyDescent="0.25">
      <c r="A51" s="15">
        <v>1</v>
      </c>
      <c r="B51" s="16" t="s">
        <v>20</v>
      </c>
      <c r="C51" s="16" t="s">
        <v>81</v>
      </c>
      <c r="D51" s="38">
        <v>0.82</v>
      </c>
      <c r="E51" s="17"/>
      <c r="F51" s="16"/>
      <c r="G51" s="16"/>
      <c r="H51" s="16"/>
      <c r="I51" s="16" t="s">
        <v>82</v>
      </c>
    </row>
    <row r="52" spans="1:9" x14ac:dyDescent="0.25">
      <c r="A52" s="3" t="b">
        <v>0</v>
      </c>
      <c r="B52" s="4" t="s">
        <v>8</v>
      </c>
      <c r="C52" s="5" t="s">
        <v>83</v>
      </c>
      <c r="D52" s="6"/>
      <c r="E52" s="6"/>
      <c r="F52" s="6"/>
      <c r="G52" s="6"/>
      <c r="H52" s="6"/>
      <c r="I52" s="6"/>
    </row>
    <row r="53" spans="1:9" x14ac:dyDescent="0.25">
      <c r="A53" s="9">
        <v>1</v>
      </c>
      <c r="B53" s="10" t="s">
        <v>10</v>
      </c>
      <c r="C53" s="10" t="s">
        <v>66</v>
      </c>
      <c r="D53" s="7" t="s">
        <v>12</v>
      </c>
      <c r="E53" s="11"/>
      <c r="F53" s="11" t="str">
        <f>SUBSTITUTE(F45,"reflection","transmission")</f>
        <v>coatings\Asahi\Final transmission model(JH gap dichroic)_transmission.csv</v>
      </c>
      <c r="G53" s="10" t="s">
        <v>182</v>
      </c>
      <c r="H53" s="11"/>
      <c r="I53" s="10"/>
    </row>
    <row r="54" spans="1:9" x14ac:dyDescent="0.25">
      <c r="A54" s="9">
        <v>1</v>
      </c>
      <c r="B54" s="10" t="s">
        <v>10</v>
      </c>
      <c r="C54" s="10" t="s">
        <v>84</v>
      </c>
      <c r="D54" s="7" t="s">
        <v>12</v>
      </c>
      <c r="E54" s="11"/>
      <c r="F54" s="10" t="s">
        <v>85</v>
      </c>
      <c r="G54" s="10"/>
      <c r="H54" s="11"/>
      <c r="I54" s="10"/>
    </row>
    <row r="55" spans="1:9" x14ac:dyDescent="0.25">
      <c r="A55" s="9">
        <v>1</v>
      </c>
      <c r="B55" s="10" t="s">
        <v>10</v>
      </c>
      <c r="C55" s="10" t="s">
        <v>86</v>
      </c>
      <c r="D55" s="7" t="s">
        <v>12</v>
      </c>
      <c r="E55" s="11"/>
      <c r="F55" s="8" t="s">
        <v>87</v>
      </c>
      <c r="G55" s="8"/>
      <c r="H55" s="11"/>
      <c r="I55" s="11" t="s">
        <v>88</v>
      </c>
    </row>
    <row r="56" spans="1:9" x14ac:dyDescent="0.25">
      <c r="A56" s="9">
        <v>1</v>
      </c>
      <c r="B56" s="10" t="s">
        <v>20</v>
      </c>
      <c r="C56" s="10" t="s">
        <v>89</v>
      </c>
      <c r="D56" s="7">
        <v>0.998</v>
      </c>
      <c r="E56" s="11"/>
      <c r="F56" s="8"/>
      <c r="G56" s="8"/>
      <c r="H56" s="11"/>
      <c r="I56" s="10" t="s">
        <v>90</v>
      </c>
    </row>
    <row r="57" spans="1:9" x14ac:dyDescent="0.25">
      <c r="A57" s="9">
        <v>1</v>
      </c>
      <c r="B57" s="10" t="s">
        <v>10</v>
      </c>
      <c r="C57" s="10" t="s">
        <v>91</v>
      </c>
      <c r="D57" s="7" t="s">
        <v>12</v>
      </c>
      <c r="E57" s="11"/>
      <c r="F57" s="8" t="s">
        <v>92</v>
      </c>
      <c r="G57" s="8"/>
      <c r="H57" s="11"/>
      <c r="I57" s="11" t="s">
        <v>93</v>
      </c>
    </row>
    <row r="58" spans="1:9" x14ac:dyDescent="0.25">
      <c r="A58" s="9">
        <v>1</v>
      </c>
      <c r="B58" s="10" t="s">
        <v>10</v>
      </c>
      <c r="C58" s="10" t="s">
        <v>94</v>
      </c>
      <c r="D58" s="7" t="s">
        <v>12</v>
      </c>
      <c r="E58" s="11"/>
      <c r="F58" s="8" t="s">
        <v>92</v>
      </c>
      <c r="G58" s="8"/>
      <c r="H58" s="11"/>
      <c r="I58" s="11" t="s">
        <v>95</v>
      </c>
    </row>
    <row r="59" spans="1:9" x14ac:dyDescent="0.25">
      <c r="A59" s="9">
        <v>1</v>
      </c>
      <c r="B59" s="10" t="s">
        <v>10</v>
      </c>
      <c r="C59" s="10" t="s">
        <v>96</v>
      </c>
      <c r="D59" s="7" t="s">
        <v>12</v>
      </c>
      <c r="E59" s="11"/>
      <c r="F59" s="8" t="s">
        <v>92</v>
      </c>
      <c r="G59" s="8"/>
      <c r="H59" s="11"/>
      <c r="I59" s="11"/>
    </row>
    <row r="60" spans="1:9" ht="20" customHeight="1" x14ac:dyDescent="0.25">
      <c r="A60" s="9">
        <v>1</v>
      </c>
      <c r="B60" s="10" t="s">
        <v>10</v>
      </c>
      <c r="C60" s="10" t="s">
        <v>97</v>
      </c>
      <c r="D60" s="7" t="s">
        <v>12</v>
      </c>
      <c r="E60" s="11"/>
      <c r="F60" s="8" t="s">
        <v>92</v>
      </c>
      <c r="G60" s="8"/>
      <c r="H60" s="11"/>
      <c r="I60" s="11"/>
    </row>
    <row r="61" spans="1:9" ht="20" customHeight="1" x14ac:dyDescent="0.25">
      <c r="A61" s="9">
        <v>1</v>
      </c>
      <c r="B61" s="10" t="s">
        <v>20</v>
      </c>
      <c r="C61" s="10" t="s">
        <v>98</v>
      </c>
      <c r="D61" s="7">
        <f>1-0.0035</f>
        <v>0.99650000000000005</v>
      </c>
      <c r="E61" s="11"/>
      <c r="F61" s="8"/>
      <c r="G61" s="8"/>
      <c r="H61" s="11"/>
      <c r="I61" s="11"/>
    </row>
    <row r="62" spans="1:9" ht="20" customHeight="1" x14ac:dyDescent="0.25">
      <c r="A62" s="9">
        <v>1</v>
      </c>
      <c r="B62" s="10" t="s">
        <v>54</v>
      </c>
      <c r="C62" s="10" t="s">
        <v>99</v>
      </c>
      <c r="D62" s="7">
        <v>10</v>
      </c>
      <c r="E62" s="11"/>
      <c r="F62" s="26" t="s">
        <v>100</v>
      </c>
      <c r="G62" s="26"/>
      <c r="H62" s="11"/>
      <c r="I62" s="11"/>
    </row>
    <row r="63" spans="1:9" ht="20" customHeight="1" x14ac:dyDescent="0.25">
      <c r="A63" s="9">
        <v>1</v>
      </c>
      <c r="B63" s="10" t="s">
        <v>20</v>
      </c>
      <c r="C63" s="10" t="s">
        <v>101</v>
      </c>
      <c r="D63" s="7">
        <f>1-0.005</f>
        <v>0.995</v>
      </c>
      <c r="E63" s="11"/>
      <c r="F63" s="26"/>
      <c r="G63" s="26"/>
      <c r="H63" s="11"/>
      <c r="I63" s="11"/>
    </row>
    <row r="64" spans="1:9" ht="20" customHeight="1" x14ac:dyDescent="0.25">
      <c r="A64" s="9">
        <v>1</v>
      </c>
      <c r="B64" s="10" t="s">
        <v>20</v>
      </c>
      <c r="C64" s="10" t="s">
        <v>98</v>
      </c>
      <c r="D64" s="7">
        <f>1-0.005</f>
        <v>0.995</v>
      </c>
      <c r="E64" s="11"/>
      <c r="F64" s="26"/>
      <c r="G64" s="26"/>
      <c r="H64" s="11"/>
      <c r="I64" s="11"/>
    </row>
    <row r="65" spans="1:9" ht="22" customHeight="1" x14ac:dyDescent="0.25">
      <c r="A65" s="9">
        <v>1</v>
      </c>
      <c r="B65" s="10" t="s">
        <v>54</v>
      </c>
      <c r="C65" s="10" t="s">
        <v>102</v>
      </c>
      <c r="D65" s="7">
        <v>2.73</v>
      </c>
      <c r="E65" s="11"/>
      <c r="F65" s="26" t="s">
        <v>103</v>
      </c>
      <c r="G65" s="26"/>
      <c r="H65" s="11"/>
      <c r="I65" s="11"/>
    </row>
    <row r="66" spans="1:9" ht="22" customHeight="1" x14ac:dyDescent="0.25">
      <c r="A66" s="9">
        <v>1</v>
      </c>
      <c r="B66" s="10" t="s">
        <v>20</v>
      </c>
      <c r="C66" s="10" t="s">
        <v>101</v>
      </c>
      <c r="D66" s="7">
        <f>1-0.0035</f>
        <v>0.99650000000000005</v>
      </c>
      <c r="E66" s="11"/>
      <c r="F66" s="26"/>
      <c r="G66" s="26"/>
      <c r="H66" s="11"/>
      <c r="I66" s="11"/>
    </row>
    <row r="67" spans="1:9" ht="22" customHeight="1" x14ac:dyDescent="0.25">
      <c r="A67" s="9">
        <v>1</v>
      </c>
      <c r="B67" s="10" t="s">
        <v>20</v>
      </c>
      <c r="C67" s="10" t="s">
        <v>98</v>
      </c>
      <c r="D67" s="7">
        <f>1-0.0035</f>
        <v>0.99650000000000005</v>
      </c>
      <c r="E67" s="11"/>
      <c r="F67" s="26"/>
      <c r="G67" s="26"/>
      <c r="H67" s="11"/>
      <c r="I67" s="11"/>
    </row>
    <row r="68" spans="1:9" ht="21" customHeight="1" x14ac:dyDescent="0.25">
      <c r="A68" s="9">
        <v>1</v>
      </c>
      <c r="B68" s="10" t="s">
        <v>54</v>
      </c>
      <c r="C68" s="26" t="s">
        <v>104</v>
      </c>
      <c r="D68" s="25">
        <v>10</v>
      </c>
      <c r="E68" s="11"/>
      <c r="F68" s="26" t="s">
        <v>105</v>
      </c>
      <c r="G68" s="26"/>
      <c r="H68" s="11"/>
      <c r="I68" s="10"/>
    </row>
    <row r="69" spans="1:9" ht="21" customHeight="1" x14ac:dyDescent="0.25">
      <c r="A69" s="9">
        <v>1</v>
      </c>
      <c r="B69" s="10" t="s">
        <v>20</v>
      </c>
      <c r="C69" s="10" t="s">
        <v>101</v>
      </c>
      <c r="D69" s="25">
        <f>1-0.0035</f>
        <v>0.99650000000000005</v>
      </c>
      <c r="E69" s="11"/>
      <c r="F69" s="26"/>
      <c r="G69" s="26"/>
      <c r="H69" s="11"/>
      <c r="I69" s="10"/>
    </row>
    <row r="70" spans="1:9" x14ac:dyDescent="0.25">
      <c r="A70" s="3" t="b">
        <v>0</v>
      </c>
      <c r="B70" s="4" t="s">
        <v>8</v>
      </c>
      <c r="C70" s="5" t="s">
        <v>106</v>
      </c>
      <c r="D70" s="6"/>
      <c r="E70" s="6"/>
      <c r="F70" s="6"/>
      <c r="G70" s="6"/>
      <c r="H70" s="6"/>
      <c r="I70" s="6"/>
    </row>
    <row r="71" spans="1:9" s="22" customFormat="1" x14ac:dyDescent="0.25">
      <c r="A71" s="19">
        <v>1</v>
      </c>
      <c r="B71" s="20" t="s">
        <v>10</v>
      </c>
      <c r="C71" s="20" t="s">
        <v>66</v>
      </c>
      <c r="D71" s="19" t="s">
        <v>12</v>
      </c>
      <c r="E71" s="21"/>
      <c r="F71" s="21" t="str">
        <f>SUBSTITUTE(F45,"reflection","transmission")</f>
        <v>coatings\Asahi\Final transmission model(JH gap dichroic)_transmission.csv</v>
      </c>
      <c r="G71" s="20" t="s">
        <v>182</v>
      </c>
      <c r="H71" s="20"/>
      <c r="I71" s="20"/>
    </row>
    <row r="72" spans="1:9" s="22" customFormat="1" x14ac:dyDescent="0.25">
      <c r="A72" s="19">
        <v>1</v>
      </c>
      <c r="B72" s="20" t="s">
        <v>10</v>
      </c>
      <c r="C72" s="20" t="s">
        <v>84</v>
      </c>
      <c r="D72" s="19" t="s">
        <v>12</v>
      </c>
      <c r="E72" s="21"/>
      <c r="F72" s="20" t="s">
        <v>85</v>
      </c>
      <c r="G72" s="20"/>
      <c r="H72" s="20"/>
      <c r="I72" s="20" t="s">
        <v>107</v>
      </c>
    </row>
    <row r="73" spans="1:9" s="22" customFormat="1" x14ac:dyDescent="0.25">
      <c r="A73" s="19">
        <v>1</v>
      </c>
      <c r="B73" s="20" t="s">
        <v>10</v>
      </c>
      <c r="C73" s="20" t="s">
        <v>108</v>
      </c>
      <c r="D73" s="19" t="s">
        <v>12</v>
      </c>
      <c r="E73" s="21"/>
      <c r="F73" s="20" t="s">
        <v>109</v>
      </c>
      <c r="G73" s="20"/>
      <c r="H73" s="20"/>
      <c r="I73" s="20"/>
    </row>
    <row r="74" spans="1:9" s="22" customFormat="1" x14ac:dyDescent="0.25">
      <c r="A74" s="19">
        <v>1</v>
      </c>
      <c r="B74" s="20" t="s">
        <v>10</v>
      </c>
      <c r="C74" s="20" t="s">
        <v>110</v>
      </c>
      <c r="D74" s="19" t="s">
        <v>12</v>
      </c>
      <c r="E74" s="21"/>
      <c r="F74" s="20" t="s">
        <v>111</v>
      </c>
      <c r="G74" s="20"/>
      <c r="H74" s="20"/>
      <c r="I74" s="20"/>
    </row>
    <row r="75" spans="1:9" s="22" customFormat="1" x14ac:dyDescent="0.25">
      <c r="A75" s="19">
        <v>1</v>
      </c>
      <c r="B75" s="20" t="s">
        <v>20</v>
      </c>
      <c r="C75" s="20" t="s">
        <v>89</v>
      </c>
      <c r="D75" s="19">
        <v>0.998</v>
      </c>
      <c r="E75" s="21"/>
      <c r="F75" s="20"/>
      <c r="G75" s="20"/>
      <c r="H75" s="20"/>
      <c r="I75" s="20" t="s">
        <v>112</v>
      </c>
    </row>
    <row r="76" spans="1:9" s="22" customFormat="1" x14ac:dyDescent="0.25">
      <c r="A76" s="19">
        <v>1</v>
      </c>
      <c r="B76" s="20" t="s">
        <v>10</v>
      </c>
      <c r="C76" s="20" t="s">
        <v>91</v>
      </c>
      <c r="D76" s="19" t="s">
        <v>12</v>
      </c>
      <c r="E76" s="21"/>
      <c r="F76" s="20" t="s">
        <v>113</v>
      </c>
      <c r="G76" s="20"/>
      <c r="H76" s="20"/>
      <c r="I76" s="21" t="s">
        <v>114</v>
      </c>
    </row>
    <row r="77" spans="1:9" s="22" customFormat="1" x14ac:dyDescent="0.25">
      <c r="A77" s="19">
        <v>1</v>
      </c>
      <c r="B77" s="20" t="s">
        <v>10</v>
      </c>
      <c r="C77" s="20" t="s">
        <v>94</v>
      </c>
      <c r="D77" s="19" t="s">
        <v>12</v>
      </c>
      <c r="E77" s="21"/>
      <c r="F77" s="20" t="s">
        <v>113</v>
      </c>
      <c r="G77" s="20"/>
      <c r="H77" s="20"/>
      <c r="I77" s="21" t="s">
        <v>95</v>
      </c>
    </row>
    <row r="78" spans="1:9" s="22" customFormat="1" x14ac:dyDescent="0.25">
      <c r="A78" s="19">
        <v>1</v>
      </c>
      <c r="B78" s="20" t="s">
        <v>10</v>
      </c>
      <c r="C78" s="20" t="s">
        <v>96</v>
      </c>
      <c r="D78" s="19" t="s">
        <v>12</v>
      </c>
      <c r="E78" s="21"/>
      <c r="F78" s="20" t="s">
        <v>113</v>
      </c>
      <c r="G78" s="20"/>
      <c r="H78" s="20"/>
      <c r="I78" s="21"/>
    </row>
    <row r="79" spans="1:9" s="22" customFormat="1" x14ac:dyDescent="0.25">
      <c r="A79" s="19">
        <v>1</v>
      </c>
      <c r="B79" s="20" t="s">
        <v>10</v>
      </c>
      <c r="C79" s="20" t="s">
        <v>97</v>
      </c>
      <c r="D79" s="19" t="s">
        <v>12</v>
      </c>
      <c r="E79" s="21"/>
      <c r="F79" s="20" t="s">
        <v>113</v>
      </c>
      <c r="G79" s="20"/>
      <c r="H79" s="20"/>
      <c r="I79" s="21"/>
    </row>
    <row r="80" spans="1:9" s="22" customFormat="1" ht="20" customHeight="1" x14ac:dyDescent="0.25">
      <c r="A80" s="19">
        <v>1</v>
      </c>
      <c r="B80" s="20" t="s">
        <v>20</v>
      </c>
      <c r="C80" s="20" t="s">
        <v>98</v>
      </c>
      <c r="D80" s="19">
        <f>1-0.007</f>
        <v>0.99299999999999999</v>
      </c>
      <c r="E80" s="21"/>
      <c r="F80" s="20"/>
      <c r="G80" s="20"/>
      <c r="H80" s="21"/>
      <c r="I80" s="21" t="s">
        <v>115</v>
      </c>
    </row>
    <row r="81" spans="1:9" s="22" customFormat="1" ht="20" customHeight="1" x14ac:dyDescent="0.25">
      <c r="A81" s="19">
        <v>1</v>
      </c>
      <c r="B81" s="20" t="s">
        <v>54</v>
      </c>
      <c r="C81" s="20" t="s">
        <v>99</v>
      </c>
      <c r="D81" s="19">
        <v>10</v>
      </c>
      <c r="E81" s="21"/>
      <c r="F81" s="20" t="s">
        <v>100</v>
      </c>
      <c r="G81" s="20"/>
      <c r="H81" s="21"/>
      <c r="I81" s="21" t="s">
        <v>116</v>
      </c>
    </row>
    <row r="82" spans="1:9" s="22" customFormat="1" ht="20" customHeight="1" x14ac:dyDescent="0.25">
      <c r="A82" s="19">
        <v>1</v>
      </c>
      <c r="B82" s="20" t="s">
        <v>20</v>
      </c>
      <c r="C82" s="20" t="s">
        <v>101</v>
      </c>
      <c r="D82" s="19">
        <f>1-0.007</f>
        <v>0.99299999999999999</v>
      </c>
      <c r="E82" s="21"/>
      <c r="F82" s="20"/>
      <c r="G82" s="20"/>
      <c r="H82" s="21"/>
      <c r="I82" s="21"/>
    </row>
    <row r="83" spans="1:9" s="22" customFormat="1" ht="20" customHeight="1" x14ac:dyDescent="0.25">
      <c r="A83" s="19">
        <v>1</v>
      </c>
      <c r="B83" s="20" t="s">
        <v>20</v>
      </c>
      <c r="C83" s="20" t="s">
        <v>98</v>
      </c>
      <c r="D83" s="19">
        <f>1-0.007</f>
        <v>0.99299999999999999</v>
      </c>
      <c r="E83" s="21"/>
      <c r="F83" s="20"/>
      <c r="G83" s="20"/>
      <c r="H83" s="21"/>
      <c r="I83" s="21"/>
    </row>
    <row r="84" spans="1:9" s="22" customFormat="1" ht="22" customHeight="1" x14ac:dyDescent="0.25">
      <c r="A84" s="19">
        <v>1</v>
      </c>
      <c r="B84" s="20" t="s">
        <v>54</v>
      </c>
      <c r="C84" s="20" t="s">
        <v>102</v>
      </c>
      <c r="D84" s="19">
        <v>4</v>
      </c>
      <c r="E84" s="21"/>
      <c r="F84" s="20" t="s">
        <v>62</v>
      </c>
      <c r="G84" s="20"/>
      <c r="H84" s="21"/>
      <c r="I84" s="21"/>
    </row>
    <row r="85" spans="1:9" s="22" customFormat="1" ht="22" customHeight="1" x14ac:dyDescent="0.25">
      <c r="A85" s="19">
        <v>1</v>
      </c>
      <c r="B85" s="20" t="s">
        <v>20</v>
      </c>
      <c r="C85" s="20" t="s">
        <v>101</v>
      </c>
      <c r="D85" s="19">
        <f>1-0.007</f>
        <v>0.99299999999999999</v>
      </c>
      <c r="E85" s="21"/>
      <c r="F85" s="20"/>
      <c r="G85" s="20"/>
      <c r="H85" s="21"/>
      <c r="I85" s="21"/>
    </row>
    <row r="86" spans="1:9" s="22" customFormat="1" ht="22" customHeight="1" x14ac:dyDescent="0.25">
      <c r="A86" s="19">
        <v>1</v>
      </c>
      <c r="B86" s="20" t="s">
        <v>20</v>
      </c>
      <c r="C86" s="20" t="s">
        <v>98</v>
      </c>
      <c r="D86" s="19">
        <f>1-0.007</f>
        <v>0.99299999999999999</v>
      </c>
      <c r="E86" s="21"/>
      <c r="F86" s="20"/>
      <c r="G86" s="20"/>
      <c r="H86" s="21"/>
      <c r="I86" s="21"/>
    </row>
    <row r="87" spans="1:9" s="22" customFormat="1" ht="21" customHeight="1" x14ac:dyDescent="0.25">
      <c r="A87" s="19">
        <v>1</v>
      </c>
      <c r="B87" s="20" t="s">
        <v>54</v>
      </c>
      <c r="C87" s="20" t="s">
        <v>104</v>
      </c>
      <c r="D87" s="19">
        <v>10</v>
      </c>
      <c r="E87" s="21"/>
      <c r="F87" s="20" t="s">
        <v>117</v>
      </c>
      <c r="G87" s="20"/>
      <c r="H87" s="21"/>
      <c r="I87" s="20"/>
    </row>
    <row r="88" spans="1:9" s="22" customFormat="1" ht="21" customHeight="1" x14ac:dyDescent="0.25">
      <c r="A88" s="19">
        <v>1</v>
      </c>
      <c r="B88" s="20" t="s">
        <v>20</v>
      </c>
      <c r="C88" s="20" t="s">
        <v>101</v>
      </c>
      <c r="D88" s="19">
        <f>1-0.007</f>
        <v>0.99299999999999999</v>
      </c>
      <c r="E88" s="21"/>
      <c r="F88" s="20"/>
      <c r="G88" s="20"/>
      <c r="H88" s="21"/>
      <c r="I88" s="20"/>
    </row>
    <row r="89" spans="1:9" x14ac:dyDescent="0.25">
      <c r="A89" s="3" t="b">
        <v>0</v>
      </c>
      <c r="B89" s="4" t="s">
        <v>8</v>
      </c>
      <c r="C89" s="5" t="s">
        <v>118</v>
      </c>
      <c r="D89" s="6"/>
      <c r="E89" s="6"/>
      <c r="F89" s="6"/>
      <c r="G89" s="6"/>
      <c r="H89" s="6"/>
      <c r="I89" s="6"/>
    </row>
    <row r="90" spans="1:9" s="30" customFormat="1" x14ac:dyDescent="0.25">
      <c r="A90" s="27">
        <v>1</v>
      </c>
      <c r="B90" s="32" t="s">
        <v>20</v>
      </c>
      <c r="C90" s="32" t="s">
        <v>119</v>
      </c>
      <c r="D90" s="33">
        <v>1.3</v>
      </c>
      <c r="E90" s="33"/>
      <c r="F90" s="33"/>
      <c r="G90" s="33"/>
      <c r="H90" s="29"/>
      <c r="I90" s="29"/>
    </row>
    <row r="91" spans="1:9" s="30" customFormat="1" ht="20" customHeight="1" x14ac:dyDescent="0.25">
      <c r="A91" s="27">
        <v>1</v>
      </c>
      <c r="B91" s="32" t="s">
        <v>10</v>
      </c>
      <c r="C91" s="32" t="s">
        <v>120</v>
      </c>
      <c r="D91" s="33" t="s">
        <v>12</v>
      </c>
      <c r="E91" s="33"/>
      <c r="F91" s="33" t="s">
        <v>121</v>
      </c>
      <c r="G91" s="33"/>
      <c r="H91" s="29"/>
      <c r="I91" s="29" t="s">
        <v>122</v>
      </c>
    </row>
    <row r="92" spans="1:9" s="30" customFormat="1" ht="20" customHeight="1" x14ac:dyDescent="0.25">
      <c r="A92" s="27">
        <v>1</v>
      </c>
      <c r="B92" s="32" t="s">
        <v>10</v>
      </c>
      <c r="C92" s="32" t="s">
        <v>123</v>
      </c>
      <c r="D92" s="33" t="s">
        <v>12</v>
      </c>
      <c r="E92" s="33"/>
      <c r="F92" s="33" t="s">
        <v>124</v>
      </c>
      <c r="G92" s="33"/>
      <c r="H92" s="29" t="s">
        <v>125</v>
      </c>
      <c r="I92" s="29" t="s">
        <v>126</v>
      </c>
    </row>
    <row r="93" spans="1:9" s="30" customFormat="1" ht="20" customHeight="1" x14ac:dyDescent="0.25">
      <c r="A93" s="27">
        <v>1</v>
      </c>
      <c r="B93" s="32" t="s">
        <v>20</v>
      </c>
      <c r="C93" s="32" t="s">
        <v>127</v>
      </c>
      <c r="D93" s="33">
        <v>0.99</v>
      </c>
      <c r="E93" s="33"/>
      <c r="F93" s="33"/>
      <c r="G93" s="33"/>
      <c r="H93" s="29"/>
      <c r="I93" s="29"/>
    </row>
    <row r="94" spans="1:9" x14ac:dyDescent="0.25">
      <c r="A94" s="3" t="b">
        <v>0</v>
      </c>
      <c r="B94" s="4" t="s">
        <v>8</v>
      </c>
      <c r="C94" s="5" t="s">
        <v>128</v>
      </c>
      <c r="D94" s="6"/>
      <c r="E94" s="6"/>
      <c r="F94" s="6"/>
      <c r="G94" s="6"/>
      <c r="H94" s="6"/>
      <c r="I94" s="6"/>
    </row>
    <row r="95" spans="1:9" s="30" customFormat="1" x14ac:dyDescent="0.25">
      <c r="A95" s="27">
        <v>1</v>
      </c>
      <c r="B95" s="32" t="s">
        <v>20</v>
      </c>
      <c r="C95" s="32" t="s">
        <v>119</v>
      </c>
      <c r="D95" s="33">
        <v>1.3</v>
      </c>
      <c r="E95" s="33"/>
      <c r="F95" s="33"/>
      <c r="G95" s="33"/>
      <c r="H95" s="29"/>
      <c r="I95" s="29"/>
    </row>
    <row r="96" spans="1:9" s="30" customFormat="1" ht="20" customHeight="1" x14ac:dyDescent="0.25">
      <c r="A96" s="27">
        <v>1</v>
      </c>
      <c r="B96" s="32" t="s">
        <v>10</v>
      </c>
      <c r="C96" s="32" t="s">
        <v>129</v>
      </c>
      <c r="D96" s="33" t="s">
        <v>12</v>
      </c>
      <c r="E96" s="33"/>
      <c r="F96" s="33" t="s">
        <v>130</v>
      </c>
      <c r="G96" s="33"/>
      <c r="H96" s="29"/>
      <c r="I96" s="29" t="s">
        <v>131</v>
      </c>
    </row>
    <row r="97" spans="1:9" s="30" customFormat="1" ht="20" customHeight="1" x14ac:dyDescent="0.25">
      <c r="A97" s="27">
        <v>1</v>
      </c>
      <c r="B97" s="32" t="s">
        <v>10</v>
      </c>
      <c r="C97" s="32" t="s">
        <v>132</v>
      </c>
      <c r="D97" s="33" t="s">
        <v>12</v>
      </c>
      <c r="E97" s="33"/>
      <c r="F97" s="33" t="s">
        <v>133</v>
      </c>
      <c r="G97" s="33"/>
      <c r="H97" s="29" t="s">
        <v>134</v>
      </c>
      <c r="I97" s="29"/>
    </row>
    <row r="98" spans="1:9" s="30" customFormat="1" ht="20" customHeight="1" x14ac:dyDescent="0.25">
      <c r="A98" s="27">
        <v>1</v>
      </c>
      <c r="B98" s="32" t="s">
        <v>20</v>
      </c>
      <c r="C98" s="32" t="s">
        <v>127</v>
      </c>
      <c r="D98" s="33">
        <v>0.99</v>
      </c>
      <c r="E98" s="33"/>
      <c r="F98" s="33"/>
      <c r="G98" s="33"/>
      <c r="H98" s="29"/>
      <c r="I98" s="29"/>
    </row>
    <row r="99" spans="1:9" x14ac:dyDescent="0.25">
      <c r="A99" s="3" t="b">
        <v>0</v>
      </c>
      <c r="B99" s="4" t="s">
        <v>8</v>
      </c>
      <c r="C99" s="5" t="s">
        <v>135</v>
      </c>
      <c r="D99" s="6"/>
      <c r="E99" s="6"/>
      <c r="F99" s="6"/>
      <c r="G99" s="6"/>
      <c r="H99" s="6"/>
      <c r="I99" s="6"/>
    </row>
    <row r="100" spans="1:9" s="30" customFormat="1" x14ac:dyDescent="0.25">
      <c r="A100" s="27">
        <v>1</v>
      </c>
      <c r="B100" s="32" t="s">
        <v>20</v>
      </c>
      <c r="C100" s="32" t="s">
        <v>136</v>
      </c>
      <c r="D100" s="33">
        <v>0.85</v>
      </c>
      <c r="E100" s="33"/>
      <c r="F100" s="33"/>
      <c r="G100" s="33"/>
      <c r="H100" s="29"/>
      <c r="I100" s="29" t="s">
        <v>137</v>
      </c>
    </row>
    <row r="101" spans="1:9" s="30" customFormat="1" ht="20" customHeight="1" x14ac:dyDescent="0.25">
      <c r="A101" s="27">
        <v>1</v>
      </c>
      <c r="B101" s="32" t="s">
        <v>20</v>
      </c>
      <c r="C101" s="32" t="s">
        <v>127</v>
      </c>
      <c r="D101" s="33">
        <v>0.99</v>
      </c>
      <c r="E101" s="33"/>
      <c r="F101" s="33"/>
      <c r="G101" s="33"/>
      <c r="H101" s="29"/>
      <c r="I101" s="29"/>
    </row>
    <row r="102" spans="1:9" x14ac:dyDescent="0.25">
      <c r="A102" s="3" t="b">
        <v>0</v>
      </c>
      <c r="B102" s="4" t="s">
        <v>8</v>
      </c>
      <c r="C102" s="5" t="s">
        <v>138</v>
      </c>
      <c r="D102" s="6"/>
      <c r="E102" s="6"/>
      <c r="F102" s="6"/>
      <c r="G102" s="6"/>
      <c r="H102" s="6"/>
      <c r="I102" s="6"/>
    </row>
    <row r="103" spans="1:9" s="30" customFormat="1" ht="20" customHeight="1" x14ac:dyDescent="0.25">
      <c r="A103" s="27">
        <v>0</v>
      </c>
      <c r="B103" s="32" t="s">
        <v>10</v>
      </c>
      <c r="C103" s="32" t="s">
        <v>139</v>
      </c>
      <c r="D103" s="33" t="s">
        <v>12</v>
      </c>
      <c r="E103" s="33"/>
      <c r="F103" s="33"/>
      <c r="G103" s="33"/>
      <c r="H103" s="29" t="s">
        <v>134</v>
      </c>
      <c r="I103" s="29" t="s">
        <v>140</v>
      </c>
    </row>
    <row r="104" spans="1:9" x14ac:dyDescent="0.25">
      <c r="A104" s="3" t="b">
        <v>0</v>
      </c>
      <c r="B104" s="4" t="s">
        <v>8</v>
      </c>
      <c r="C104" s="5" t="s">
        <v>141</v>
      </c>
      <c r="D104" s="6"/>
      <c r="E104" s="6"/>
      <c r="F104" s="6"/>
      <c r="G104" s="6"/>
      <c r="H104" s="6"/>
      <c r="I104" s="6"/>
    </row>
    <row r="105" spans="1:9" s="24" customFormat="1" x14ac:dyDescent="0.25">
      <c r="A105" s="25">
        <v>1</v>
      </c>
      <c r="B105" s="26" t="s">
        <v>54</v>
      </c>
      <c r="C105" s="26" t="s">
        <v>142</v>
      </c>
      <c r="D105" s="25">
        <v>76</v>
      </c>
      <c r="E105" s="23"/>
      <c r="F105" s="26" t="s">
        <v>143</v>
      </c>
      <c r="G105" s="26"/>
      <c r="H105" s="26" t="s">
        <v>144</v>
      </c>
      <c r="I105" s="26" t="s">
        <v>145</v>
      </c>
    </row>
    <row r="106" spans="1:9" s="24" customFormat="1" x14ac:dyDescent="0.25">
      <c r="A106" s="25">
        <v>1</v>
      </c>
      <c r="B106" s="26" t="s">
        <v>20</v>
      </c>
      <c r="C106" s="26" t="s">
        <v>146</v>
      </c>
      <c r="D106" s="25">
        <v>0.88500000000000001</v>
      </c>
      <c r="E106" s="23"/>
      <c r="F106" s="26" t="s">
        <v>12</v>
      </c>
      <c r="G106" s="26"/>
      <c r="H106" s="26" t="s">
        <v>147</v>
      </c>
      <c r="I106" s="26" t="s">
        <v>148</v>
      </c>
    </row>
    <row r="107" spans="1:9" s="24" customFormat="1" x14ac:dyDescent="0.25">
      <c r="A107" s="25">
        <v>1</v>
      </c>
      <c r="B107" s="26" t="s">
        <v>20</v>
      </c>
      <c r="C107" s="26" t="s">
        <v>127</v>
      </c>
      <c r="D107" s="25">
        <v>0.99</v>
      </c>
      <c r="E107" s="23"/>
      <c r="F107" s="26" t="s">
        <v>12</v>
      </c>
      <c r="G107" s="26"/>
      <c r="H107" s="26"/>
      <c r="I107" s="26" t="s">
        <v>149</v>
      </c>
    </row>
    <row r="108" spans="1:9" x14ac:dyDescent="0.25">
      <c r="A108" s="3" t="b">
        <v>0</v>
      </c>
      <c r="B108" s="4" t="s">
        <v>8</v>
      </c>
      <c r="C108" s="5" t="s">
        <v>150</v>
      </c>
      <c r="D108" s="6"/>
      <c r="E108" s="6"/>
      <c r="F108" s="6"/>
      <c r="G108" s="6"/>
      <c r="H108" s="6"/>
      <c r="I108" s="6"/>
    </row>
    <row r="109" spans="1:9" s="22" customFormat="1" x14ac:dyDescent="0.25">
      <c r="A109" s="19">
        <v>1</v>
      </c>
      <c r="B109" s="20" t="s">
        <v>54</v>
      </c>
      <c r="C109" s="20" t="s">
        <v>142</v>
      </c>
      <c r="D109" s="19">
        <v>74</v>
      </c>
      <c r="E109" s="21"/>
      <c r="F109" s="20" t="s">
        <v>151</v>
      </c>
      <c r="G109" s="20"/>
      <c r="H109" s="20" t="s">
        <v>152</v>
      </c>
      <c r="I109" s="20" t="s">
        <v>153</v>
      </c>
    </row>
    <row r="110" spans="1:9" s="22" customFormat="1" x14ac:dyDescent="0.25">
      <c r="A110" s="19">
        <v>1</v>
      </c>
      <c r="B110" s="20" t="s">
        <v>20</v>
      </c>
      <c r="C110" s="20" t="s">
        <v>146</v>
      </c>
      <c r="D110" s="19">
        <v>0.88500000000000001</v>
      </c>
      <c r="E110" s="21"/>
      <c r="F110" s="20" t="s">
        <v>12</v>
      </c>
      <c r="G110" s="20"/>
      <c r="H110" s="20" t="s">
        <v>147</v>
      </c>
      <c r="I110" s="20" t="s">
        <v>148</v>
      </c>
    </row>
    <row r="111" spans="1:9" s="22" customFormat="1" x14ac:dyDescent="0.25">
      <c r="A111" s="19">
        <v>1</v>
      </c>
      <c r="B111" s="20" t="s">
        <v>20</v>
      </c>
      <c r="C111" s="20" t="s">
        <v>127</v>
      </c>
      <c r="D111" s="19">
        <v>0.99</v>
      </c>
      <c r="E111" s="21"/>
      <c r="F111" s="20" t="s">
        <v>12</v>
      </c>
      <c r="G111" s="20"/>
      <c r="H111" s="20"/>
      <c r="I111" s="20"/>
    </row>
    <row r="112" spans="1:9" ht="18" customHeight="1" x14ac:dyDescent="0.25">
      <c r="A112" s="3" t="b">
        <v>0</v>
      </c>
      <c r="B112" s="4" t="s">
        <v>8</v>
      </c>
      <c r="C112" s="5" t="s">
        <v>154</v>
      </c>
      <c r="D112" s="6"/>
      <c r="E112" s="6"/>
      <c r="F112" s="6"/>
      <c r="G112" s="6"/>
      <c r="H112" s="6"/>
      <c r="I112" s="6"/>
    </row>
    <row r="113" spans="1:9" s="24" customFormat="1" ht="20" customHeight="1" x14ac:dyDescent="0.25">
      <c r="A113" s="25">
        <v>1</v>
      </c>
      <c r="B113" s="26" t="s">
        <v>10</v>
      </c>
      <c r="C113" s="26" t="s">
        <v>155</v>
      </c>
      <c r="D113" s="34" t="s">
        <v>12</v>
      </c>
      <c r="E113" s="23"/>
      <c r="F113" s="23" t="s">
        <v>156</v>
      </c>
      <c r="G113" s="23"/>
      <c r="H113" s="23"/>
      <c r="I113" s="26"/>
    </row>
    <row r="114" spans="1:9" s="24" customFormat="1" x14ac:dyDescent="0.25">
      <c r="A114" s="25">
        <v>1</v>
      </c>
      <c r="B114" s="26" t="s">
        <v>10</v>
      </c>
      <c r="C114" s="26" t="s">
        <v>157</v>
      </c>
      <c r="D114" s="25" t="s">
        <v>12</v>
      </c>
      <c r="E114" s="23"/>
      <c r="F114" s="23" t="s">
        <v>156</v>
      </c>
      <c r="G114" s="23"/>
      <c r="H114" s="23"/>
      <c r="I114" s="26"/>
    </row>
    <row r="115" spans="1:9" s="24" customFormat="1" x14ac:dyDescent="0.25">
      <c r="A115" s="25">
        <v>1</v>
      </c>
      <c r="B115" s="26" t="s">
        <v>10</v>
      </c>
      <c r="C115" s="26" t="s">
        <v>158</v>
      </c>
      <c r="D115" s="25" t="s">
        <v>12</v>
      </c>
      <c r="E115" s="23"/>
      <c r="F115" s="23" t="s">
        <v>156</v>
      </c>
      <c r="G115" s="23"/>
      <c r="H115" s="23"/>
      <c r="I115" s="26"/>
    </row>
    <row r="116" spans="1:9" s="24" customFormat="1" x14ac:dyDescent="0.25">
      <c r="A116" s="25">
        <v>1</v>
      </c>
      <c r="B116" s="26" t="s">
        <v>20</v>
      </c>
      <c r="C116" s="26" t="s">
        <v>159</v>
      </c>
      <c r="D116" s="25">
        <v>0.94</v>
      </c>
      <c r="E116" s="23"/>
      <c r="F116" s="26"/>
      <c r="G116" s="26"/>
      <c r="H116" s="26"/>
      <c r="I116" s="23"/>
    </row>
    <row r="117" spans="1:9" s="24" customFormat="1" x14ac:dyDescent="0.25">
      <c r="A117" s="25">
        <v>1</v>
      </c>
      <c r="B117" s="26" t="s">
        <v>10</v>
      </c>
      <c r="C117" s="26" t="s">
        <v>160</v>
      </c>
      <c r="D117" s="25" t="s">
        <v>12</v>
      </c>
      <c r="E117" s="23"/>
      <c r="F117" s="23" t="s">
        <v>161</v>
      </c>
      <c r="G117" s="23"/>
      <c r="H117" s="23" t="s">
        <v>162</v>
      </c>
      <c r="I117" s="26" t="s">
        <v>163</v>
      </c>
    </row>
    <row r="118" spans="1:9" s="24" customFormat="1" x14ac:dyDescent="0.25">
      <c r="A118" s="25">
        <v>1</v>
      </c>
      <c r="B118" s="26" t="s">
        <v>20</v>
      </c>
      <c r="C118" s="26" t="s">
        <v>164</v>
      </c>
      <c r="D118" s="25">
        <v>1</v>
      </c>
      <c r="E118" s="23"/>
      <c r="F118" s="23"/>
      <c r="G118" s="23"/>
      <c r="H118" s="23"/>
      <c r="I118" s="26" t="s">
        <v>165</v>
      </c>
    </row>
    <row r="119" spans="1:9" s="24" customFormat="1" x14ac:dyDescent="0.25">
      <c r="A119" s="25">
        <v>1</v>
      </c>
      <c r="B119" s="26" t="s">
        <v>10</v>
      </c>
      <c r="C119" s="26" t="s">
        <v>166</v>
      </c>
      <c r="D119" s="25" t="s">
        <v>12</v>
      </c>
      <c r="E119" s="23"/>
      <c r="F119" s="23" t="s">
        <v>167</v>
      </c>
      <c r="G119" s="23"/>
      <c r="H119" s="23"/>
      <c r="I119" s="24" t="s">
        <v>168</v>
      </c>
    </row>
    <row r="120" spans="1:9" s="24" customFormat="1" x14ac:dyDescent="0.25">
      <c r="A120" s="25">
        <v>1</v>
      </c>
      <c r="B120" s="26" t="s">
        <v>20</v>
      </c>
      <c r="C120" s="26" t="s">
        <v>169</v>
      </c>
      <c r="D120" s="25">
        <v>0.95</v>
      </c>
      <c r="E120" s="23"/>
      <c r="F120" s="23"/>
      <c r="G120" s="23"/>
      <c r="H120" s="23"/>
      <c r="I120" s="24" t="s">
        <v>170</v>
      </c>
    </row>
    <row r="121" spans="1:9" s="24" customFormat="1" x14ac:dyDescent="0.25">
      <c r="A121" s="25">
        <v>1</v>
      </c>
      <c r="B121" s="26" t="s">
        <v>10</v>
      </c>
      <c r="C121" s="26" t="s">
        <v>171</v>
      </c>
      <c r="D121" s="25" t="s">
        <v>12</v>
      </c>
      <c r="E121" s="23"/>
      <c r="F121" s="23" t="s">
        <v>156</v>
      </c>
      <c r="G121" s="23"/>
      <c r="H121" s="23"/>
      <c r="I121" s="26"/>
    </row>
    <row r="122" spans="1:9" s="24" customFormat="1" x14ac:dyDescent="0.25">
      <c r="A122" s="25">
        <v>1</v>
      </c>
      <c r="B122" s="26" t="s">
        <v>10</v>
      </c>
      <c r="C122" s="26" t="s">
        <v>172</v>
      </c>
      <c r="D122" s="25" t="s">
        <v>12</v>
      </c>
      <c r="E122" s="23"/>
      <c r="F122" s="23" t="s">
        <v>156</v>
      </c>
      <c r="G122" s="23"/>
      <c r="H122" s="23"/>
      <c r="I122" s="26"/>
    </row>
    <row r="123" spans="1:9" s="24" customFormat="1" x14ac:dyDescent="0.25">
      <c r="A123" s="25">
        <v>1</v>
      </c>
      <c r="B123" s="26" t="s">
        <v>10</v>
      </c>
      <c r="C123" s="26" t="s">
        <v>173</v>
      </c>
      <c r="D123" s="25" t="s">
        <v>12</v>
      </c>
      <c r="E123" s="23"/>
      <c r="F123" s="23" t="s">
        <v>156</v>
      </c>
      <c r="G123" s="23"/>
      <c r="H123" s="23"/>
      <c r="I123" s="26"/>
    </row>
    <row r="124" spans="1:9" s="24" customFormat="1" x14ac:dyDescent="0.25">
      <c r="A124" s="25">
        <v>1</v>
      </c>
      <c r="B124" s="26" t="s">
        <v>20</v>
      </c>
      <c r="C124" s="26" t="s">
        <v>81</v>
      </c>
      <c r="D124" s="48">
        <v>0.92</v>
      </c>
      <c r="E124" s="23"/>
      <c r="F124" s="26"/>
      <c r="G124" s="26"/>
      <c r="H124" s="39" t="s">
        <v>174</v>
      </c>
      <c r="I124" s="24" t="s">
        <v>175</v>
      </c>
    </row>
    <row r="125" spans="1:9" x14ac:dyDescent="0.25">
      <c r="A125" s="3" t="b">
        <v>0</v>
      </c>
      <c r="B125" s="4" t="s">
        <v>8</v>
      </c>
      <c r="C125" s="5" t="s">
        <v>176</v>
      </c>
      <c r="D125" s="6"/>
      <c r="E125" s="6"/>
      <c r="F125" s="6"/>
      <c r="G125" s="6"/>
      <c r="H125" s="6"/>
      <c r="I125" s="6"/>
    </row>
    <row r="126" spans="1:9" s="22" customFormat="1" ht="20" customHeight="1" x14ac:dyDescent="0.25">
      <c r="A126" s="19">
        <v>1</v>
      </c>
      <c r="B126" s="20" t="s">
        <v>10</v>
      </c>
      <c r="C126" s="20" t="s">
        <v>155</v>
      </c>
      <c r="D126" s="35" t="s">
        <v>12</v>
      </c>
      <c r="E126" s="21"/>
      <c r="F126" s="21" t="s">
        <v>156</v>
      </c>
      <c r="G126" s="21"/>
      <c r="H126" s="21"/>
      <c r="I126" s="20"/>
    </row>
    <row r="127" spans="1:9" s="22" customFormat="1" x14ac:dyDescent="0.25">
      <c r="A127" s="19">
        <v>1</v>
      </c>
      <c r="B127" s="20" t="s">
        <v>10</v>
      </c>
      <c r="C127" s="20" t="s">
        <v>157</v>
      </c>
      <c r="D127" s="19" t="s">
        <v>12</v>
      </c>
      <c r="E127" s="21"/>
      <c r="F127" s="21" t="s">
        <v>156</v>
      </c>
      <c r="G127" s="21"/>
      <c r="H127" s="21"/>
      <c r="I127" s="20"/>
    </row>
    <row r="128" spans="1:9" s="22" customFormat="1" x14ac:dyDescent="0.25">
      <c r="A128" s="19">
        <v>1</v>
      </c>
      <c r="B128" s="20" t="s">
        <v>10</v>
      </c>
      <c r="C128" s="20" t="s">
        <v>158</v>
      </c>
      <c r="D128" s="19" t="s">
        <v>12</v>
      </c>
      <c r="E128" s="21"/>
      <c r="F128" s="21" t="s">
        <v>156</v>
      </c>
      <c r="G128" s="21"/>
      <c r="H128" s="21"/>
      <c r="I128" s="20"/>
    </row>
    <row r="129" spans="1:9" s="22" customFormat="1" x14ac:dyDescent="0.25">
      <c r="A129" s="19">
        <v>1</v>
      </c>
      <c r="B129" s="20" t="s">
        <v>20</v>
      </c>
      <c r="C129" s="20" t="s">
        <v>159</v>
      </c>
      <c r="D129" s="19">
        <v>0.94</v>
      </c>
      <c r="E129" s="21"/>
      <c r="F129" s="20"/>
      <c r="G129" s="20"/>
      <c r="H129" s="20"/>
      <c r="I129" s="21"/>
    </row>
    <row r="130" spans="1:9" s="22" customFormat="1" x14ac:dyDescent="0.25">
      <c r="A130" s="19">
        <v>1</v>
      </c>
      <c r="B130" s="20" t="s">
        <v>10</v>
      </c>
      <c r="C130" s="20" t="s">
        <v>160</v>
      </c>
      <c r="D130" s="19" t="s">
        <v>12</v>
      </c>
      <c r="E130" s="21"/>
      <c r="F130" s="21" t="s">
        <v>161</v>
      </c>
      <c r="G130" s="21"/>
      <c r="H130" s="21"/>
      <c r="I130" s="20"/>
    </row>
    <row r="131" spans="1:9" s="22" customFormat="1" ht="20" customHeight="1" x14ac:dyDescent="0.25">
      <c r="A131" s="19">
        <v>1</v>
      </c>
      <c r="B131" s="20" t="s">
        <v>10</v>
      </c>
      <c r="C131" s="20" t="s">
        <v>166</v>
      </c>
      <c r="D131" s="19" t="s">
        <v>12</v>
      </c>
      <c r="E131" s="21"/>
      <c r="F131" s="21" t="s">
        <v>177</v>
      </c>
      <c r="G131" s="21"/>
      <c r="H131" s="21"/>
      <c r="I131" s="20" t="s">
        <v>178</v>
      </c>
    </row>
    <row r="132" spans="1:9" s="22" customFormat="1" ht="20" customHeight="1" x14ac:dyDescent="0.25">
      <c r="A132" s="19">
        <v>1</v>
      </c>
      <c r="B132" s="20" t="s">
        <v>20</v>
      </c>
      <c r="C132" s="20" t="s">
        <v>169</v>
      </c>
      <c r="D132" s="19">
        <v>0.95</v>
      </c>
      <c r="E132" s="21"/>
      <c r="F132" s="21"/>
      <c r="G132" s="21"/>
      <c r="H132" s="21"/>
      <c r="I132" s="20" t="s">
        <v>179</v>
      </c>
    </row>
    <row r="133" spans="1:9" s="22" customFormat="1" x14ac:dyDescent="0.25">
      <c r="A133" s="19">
        <v>1</v>
      </c>
      <c r="B133" s="20" t="s">
        <v>10</v>
      </c>
      <c r="C133" s="20" t="s">
        <v>171</v>
      </c>
      <c r="D133" s="19" t="s">
        <v>12</v>
      </c>
      <c r="E133" s="21"/>
      <c r="F133" s="21" t="s">
        <v>156</v>
      </c>
      <c r="G133" s="21"/>
      <c r="H133" s="21"/>
      <c r="I133" s="20"/>
    </row>
    <row r="134" spans="1:9" s="22" customFormat="1" x14ac:dyDescent="0.25">
      <c r="A134" s="19">
        <v>1</v>
      </c>
      <c r="B134" s="20" t="s">
        <v>10</v>
      </c>
      <c r="C134" s="20" t="s">
        <v>172</v>
      </c>
      <c r="D134" s="19" t="s">
        <v>12</v>
      </c>
      <c r="E134" s="21"/>
      <c r="F134" s="21" t="s">
        <v>156</v>
      </c>
      <c r="G134" s="21"/>
      <c r="H134" s="21"/>
      <c r="I134" s="20"/>
    </row>
    <row r="135" spans="1:9" s="22" customFormat="1" x14ac:dyDescent="0.25">
      <c r="A135" s="19">
        <v>1</v>
      </c>
      <c r="B135" s="20" t="s">
        <v>10</v>
      </c>
      <c r="C135" s="20" t="s">
        <v>173</v>
      </c>
      <c r="D135" s="19" t="s">
        <v>12</v>
      </c>
      <c r="E135" s="21"/>
      <c r="F135" s="21" t="s">
        <v>156</v>
      </c>
      <c r="G135" s="21"/>
      <c r="H135" s="21"/>
      <c r="I135" s="20"/>
    </row>
    <row r="136" spans="1:9" s="22" customFormat="1" x14ac:dyDescent="0.25">
      <c r="A136" s="19">
        <v>1</v>
      </c>
      <c r="B136" s="20" t="s">
        <v>20</v>
      </c>
      <c r="C136" s="20" t="s">
        <v>81</v>
      </c>
      <c r="D136" s="48">
        <v>0.98</v>
      </c>
      <c r="E136" s="21"/>
      <c r="F136" s="20"/>
      <c r="G136" s="20"/>
      <c r="H136" s="40" t="s">
        <v>174</v>
      </c>
      <c r="I136" s="22" t="s">
        <v>180</v>
      </c>
    </row>
    <row r="137" spans="1:9" x14ac:dyDescent="0.25">
      <c r="A137" s="3" t="b">
        <v>0</v>
      </c>
      <c r="B137" s="4" t="s">
        <v>8</v>
      </c>
      <c r="C137" s="5" t="s">
        <v>183</v>
      </c>
      <c r="D137" s="6"/>
      <c r="E137" s="6"/>
      <c r="F137" s="6"/>
      <c r="G137" s="6"/>
      <c r="H137" s="6"/>
      <c r="I137" s="6"/>
    </row>
    <row r="138" spans="1:9" s="24" customFormat="1" x14ac:dyDescent="0.25">
      <c r="A138" s="25">
        <v>0</v>
      </c>
      <c r="B138" s="26" t="s">
        <v>54</v>
      </c>
      <c r="C138" s="26" t="s">
        <v>142</v>
      </c>
      <c r="D138" s="25">
        <v>11</v>
      </c>
      <c r="E138" s="23"/>
      <c r="F138" s="26" t="s">
        <v>143</v>
      </c>
      <c r="G138" s="26"/>
      <c r="H138" s="26" t="s">
        <v>144</v>
      </c>
      <c r="I138" s="26" t="s">
        <v>145</v>
      </c>
    </row>
    <row r="139" spans="1:9" s="24" customFormat="1" x14ac:dyDescent="0.25">
      <c r="A139" s="25">
        <v>0</v>
      </c>
      <c r="B139" s="26" t="s">
        <v>20</v>
      </c>
      <c r="C139" s="26" t="s">
        <v>146</v>
      </c>
      <c r="D139" s="25">
        <f>0.97</f>
        <v>0.97</v>
      </c>
      <c r="E139" s="23"/>
      <c r="F139" s="26" t="s">
        <v>12</v>
      </c>
      <c r="G139" s="26"/>
      <c r="H139" s="26" t="s">
        <v>147</v>
      </c>
      <c r="I139" s="26" t="s">
        <v>185</v>
      </c>
    </row>
    <row r="140" spans="1:9" s="24" customFormat="1" x14ac:dyDescent="0.25">
      <c r="A140" s="25">
        <v>0</v>
      </c>
      <c r="B140" s="26" t="s">
        <v>20</v>
      </c>
      <c r="C140" s="26" t="s">
        <v>127</v>
      </c>
      <c r="D140" s="25">
        <v>0.99</v>
      </c>
      <c r="E140" s="23"/>
      <c r="F140" s="26" t="s">
        <v>12</v>
      </c>
      <c r="G140" s="26"/>
      <c r="H140" s="26"/>
      <c r="I140" s="26" t="s">
        <v>186</v>
      </c>
    </row>
    <row r="141" spans="1:9" x14ac:dyDescent="0.25">
      <c r="A141" s="3" t="b">
        <v>0</v>
      </c>
      <c r="B141" s="4" t="s">
        <v>8</v>
      </c>
      <c r="C141" s="5" t="s">
        <v>184</v>
      </c>
      <c r="D141" s="6"/>
      <c r="E141" s="6"/>
      <c r="F141" s="6"/>
      <c r="G141" s="6"/>
      <c r="H141" s="6"/>
      <c r="I141" s="6"/>
    </row>
    <row r="142" spans="1:9" s="22" customFormat="1" x14ac:dyDescent="0.25">
      <c r="A142" s="19">
        <v>0</v>
      </c>
      <c r="B142" s="20" t="s">
        <v>54</v>
      </c>
      <c r="C142" s="20" t="s">
        <v>142</v>
      </c>
      <c r="D142" s="19">
        <v>11</v>
      </c>
      <c r="E142" s="21"/>
      <c r="F142" s="20" t="s">
        <v>151</v>
      </c>
      <c r="G142" s="20"/>
      <c r="H142" s="20" t="s">
        <v>152</v>
      </c>
      <c r="I142" s="20" t="s">
        <v>153</v>
      </c>
    </row>
    <row r="143" spans="1:9" s="22" customFormat="1" x14ac:dyDescent="0.25">
      <c r="A143" s="19">
        <v>0</v>
      </c>
      <c r="B143" s="20" t="s">
        <v>20</v>
      </c>
      <c r="C143" s="20" t="s">
        <v>146</v>
      </c>
      <c r="D143" s="19">
        <v>0.97</v>
      </c>
      <c r="E143" s="21"/>
      <c r="F143" s="20" t="s">
        <v>12</v>
      </c>
      <c r="G143" s="20"/>
      <c r="H143" s="20" t="s">
        <v>147</v>
      </c>
      <c r="I143" s="20" t="s">
        <v>185</v>
      </c>
    </row>
    <row r="144" spans="1:9" s="22" customFormat="1" x14ac:dyDescent="0.25">
      <c r="A144" s="19">
        <v>0</v>
      </c>
      <c r="B144" s="20" t="s">
        <v>20</v>
      </c>
      <c r="C144" s="20" t="s">
        <v>127</v>
      </c>
      <c r="D144" s="19">
        <v>0.99</v>
      </c>
      <c r="E144" s="21"/>
      <c r="F144" s="20" t="s">
        <v>12</v>
      </c>
      <c r="G144" s="20"/>
      <c r="H144" s="20"/>
      <c r="I144" s="20" t="s">
        <v>186</v>
      </c>
    </row>
  </sheetData>
  <hyperlinks>
    <hyperlink ref="H124" r:id="rId1" display="H4RG Options Summary" xr:uid="{C035A600-04E0-5A45-9DEB-9F1CAC882527}"/>
    <hyperlink ref="H136" r:id="rId2" display="H4RG Options Summary" xr:uid="{0613B75C-56C8-6F48-B8E8-3ECD8427EBF5}"/>
  </hyperlink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CBD6839BDD040B1D0CA38A4A72B20" ma:contentTypeVersion="26" ma:contentTypeDescription="Create a new document." ma:contentTypeScope="" ma:versionID="d92adabc0ecb1a588e4c2fbdd8d8c4e9">
  <xsd:schema xmlns:xsd="http://www.w3.org/2001/XMLSchema" xmlns:xs="http://www.w3.org/2001/XMLSchema" xmlns:p="http://schemas.microsoft.com/office/2006/metadata/properties" xmlns:ns2="e26cd62d-8f0f-4b37-a208-a0c98333c836" xmlns:ns3="7bdbfaba-addc-4ef5-a19e-1af729a4b030" targetNamespace="http://schemas.microsoft.com/office/2006/metadata/properties" ma:root="true" ma:fieldsID="dfeb501daa091a1ee2edb91bfd4e7dfc" ns2:_="" ns3:_="">
    <xsd:import namespace="e26cd62d-8f0f-4b37-a208-a0c98333c836"/>
    <xsd:import namespace="7bdbfaba-addc-4ef5-a19e-1af729a4b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COO_x0020_Doc_x0020_Type" minOccurs="0"/>
                <xsd:element ref="ns3:Doc_x0020_Numbe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Index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cd62d-8f0f-4b37-a208-a0c98333c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umber" ma:index="12" nillable="true" ma:displayName="Number" ma:format="Dropdown" ma:indexed="true" ma:internalName="Number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19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2113186-39af-432d-951a-a58ab5eae6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ndex" ma:index="28" nillable="true" ma:displayName="Index" ma:format="Dropdown" ma:internalName="Index" ma:percentage="FALSE">
      <xsd:simpleType>
        <xsd:restriction base="dms:Number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bfaba-addc-4ef5-a19e-1af729a4b0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O_x0020_Doc_x0020_Type" ma:index="21" nillable="true" ma:displayName="COO Doc Type" ma:format="Dropdown" ma:internalName="COO_x0020_Doc_x0020_Type">
      <xsd:simpleType>
        <xsd:restriction base="dms:Choice">
          <xsd:enumeration value="CCR"/>
          <xsd:enumeration value="CON"/>
          <xsd:enumeration value="CST"/>
          <xsd:enumeration value="DRD"/>
          <xsd:enumeration value="EXT"/>
          <xsd:enumeration value="GRA"/>
          <xsd:enumeration value="ICD"/>
          <xsd:enumeration value="JOU"/>
          <xsd:enumeration value="MGT"/>
          <xsd:enumeration value="PHO"/>
          <xsd:enumeration value="PRE"/>
          <xsd:enumeration value="SCH"/>
          <xsd:enumeration value="SCI"/>
          <xsd:enumeration value="SPE"/>
          <xsd:enumeration value="TEC"/>
          <xsd:enumeration value="TMP"/>
        </xsd:restriction>
      </xsd:simpleType>
    </xsd:element>
    <xsd:element name="Doc_x0020_Number" ma:index="22" nillable="true" ma:displayName="COO Doc No" ma:indexed="true" ma:internalName="Doc_x0020_Number">
      <xsd:simpleType>
        <xsd:restriction base="dms:Text">
          <xsd:maxLength value="255"/>
        </xsd:restriction>
      </xsd:simpleType>
    </xsd:element>
    <xsd:element name="TaxCatchAll" ma:index="27" nillable="true" ma:displayName="Taxonomy Catch All Column" ma:hidden="true" ma:list="{bc98e8f2-6689-4eb7-b093-f8f535e5ba23}" ma:internalName="TaxCatchAll" ma:showField="CatchAllData" ma:web="7bdbfaba-addc-4ef5-a19e-1af729a4b0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 xmlns="e26cd62d-8f0f-4b37-a208-a0c98333c836" xsi:nil="true"/>
    <Doc_x0020_Number xmlns="7bdbfaba-addc-4ef5-a19e-1af729a4b030" xsi:nil="true"/>
    <COO_x0020_Doc_x0020_Type xmlns="7bdbfaba-addc-4ef5-a19e-1af729a4b030" xsi:nil="true"/>
    <Index xmlns="e26cd62d-8f0f-4b37-a208-a0c98333c836" xsi:nil="true"/>
    <Description xmlns="e26cd62d-8f0f-4b37-a208-a0c98333c836" xsi:nil="true"/>
    <TaxCatchAll xmlns="7bdbfaba-addc-4ef5-a19e-1af729a4b030" xsi:nil="true"/>
    <lcf76f155ced4ddcb4097134ff3c332f xmlns="e26cd62d-8f0f-4b37-a208-a0c98333c83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15636E-CC9A-4CA1-8A4B-47A959E09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6cd62d-8f0f-4b37-a208-a0c98333c836"/>
    <ds:schemaRef ds:uri="7bdbfaba-addc-4ef5-a19e-1af729a4b0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2DDFB3-3611-44B4-843B-E1D9BDC2750A}">
  <ds:schemaRefs>
    <ds:schemaRef ds:uri="http://schemas.microsoft.com/office/2006/metadata/properties"/>
    <ds:schemaRef ds:uri="http://schemas.microsoft.com/office/infopath/2007/PartnerControls"/>
    <ds:schemaRef ds:uri="e26cd62d-8f0f-4b37-a208-a0c98333c836"/>
    <ds:schemaRef ds:uri="7bdbfaba-addc-4ef5-a19e-1af729a4b030"/>
  </ds:schemaRefs>
</ds:datastoreItem>
</file>

<file path=customXml/itemProps3.xml><?xml version="1.0" encoding="utf-8"?>
<ds:datastoreItem xmlns:ds="http://schemas.openxmlformats.org/officeDocument/2006/customXml" ds:itemID="{CFC2D14C-FD25-4A59-BA09-E22C05C288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common_forward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Bailey, Jeb</cp:lastModifiedBy>
  <cp:revision/>
  <dcterms:created xsi:type="dcterms:W3CDTF">2025-01-24T21:04:48Z</dcterms:created>
  <dcterms:modified xsi:type="dcterms:W3CDTF">2025-08-20T20:35:55Z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0x01010004ACBD6839BDD040B1D0CA38A4A72B20</vt:lpwstr>
  </property>
  <property fmtid="{D5CDD505-2E9C-101B-9397-08002B2CF9AE}" pid="3" name="MediaServiceImageTags">
    <vt:lpwstr/>
  </property>
</Properties>
</file>